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0354c2605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ckUp Import" sheetId="1" r:id="R914a5e47f3d64097"/>
    <x:sheet xmlns:r="http://schemas.openxmlformats.org/officeDocument/2006/relationships" name="Executive Brief" sheetId="2" r:id="Rb2ce84cb2ecf4855"/>
    <x:sheet xmlns:r="http://schemas.openxmlformats.org/officeDocument/2006/relationships" name="Sprint Calendar" sheetId="3" r:id="R608fe276fedb407c"/>
    <x:sheet xmlns:r="http://schemas.openxmlformats.org/officeDocument/2006/relationships" name="Capacity &amp; RACI" sheetId="4" r:id="R875fd76dc70f4fa9"/>
    <x:sheet xmlns:r="http://schemas.openxmlformats.org/officeDocument/2006/relationships" name="Quality Gates" sheetId="5" r:id="Rd117731e784c4506"/>
    <x:sheet xmlns:r="http://schemas.openxmlformats.org/officeDocument/2006/relationships" name="Risks" sheetId="6" r:id="Rd6d6984fbf5846e1"/>
    <x:sheet xmlns:r="http://schemas.openxmlformats.org/officeDocument/2006/relationships" name="ClickUp Mapping" sheetId="7" r:id="Rd3ddde6f2076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2304A"/>
      <x:name val="Carlito"/>
    </x:font>
    <x:font>
      <x:b/>
      <x:sz val="11"/>
      <x:color rgb="FFFFFFFF"/>
      <x:name val="Carlito"/>
    </x:font>
    <x:font>
      <x:sz val="11"/>
      <x:color rgb="FFB91C1C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8"/>
      <x:color rgb="FFFFFFFF"/>
      <x:name val="Aptos Display"/>
    </x:font>
    <x:font>
      <x:i/>
      <x:sz val="10"/>
      <x:color rgb="FF12304A"/>
      <x:name val="Aptos"/>
    </x:font>
    <x:font>
      <x:sz val="10"/>
      <x:color rgb="FFB91C1C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F3EF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</x:fills>
  <x:borders count="1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8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0" fontId="3" fillId="2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wrapText="1"/>
    </x:xf>
    <x:xf numFmtId="0" fontId="3" fillId="6" borderId="18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8" xfId="0" applyNumberFormat="1" applyFont="1" applyFill="1" applyBorder="1" applyAlignment="1">
      <x:alignment vertical="top" wrapText="1"/>
    </x:xf>
    <x:xf numFmtId="0" fontId="5" fillId="2" borderId="9" xfId="0" applyNumberFormat="1" applyFont="1" applyFill="1" applyBorder="1" applyAlignment="1">
      <x:alignment vertical="center" wrapText="1"/>
    </x:xf>
    <x:xf numFmtId="0" fontId="5" fillId="2" borderId="10" xfId="0" applyNumberFormat="1" applyFont="1" applyFill="1" applyBorder="1" applyAlignment="1">
      <x:alignment vertical="center" wrapText="1"/>
    </x:xf>
    <x:xf numFmtId="0" fontId="5" fillId="2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200" fontId="6" fillId="0" borderId="13" xfId="0" applyNumberFormat="1" applyFont="1" applyFill="1" applyBorder="1" applyAlignment="1">
      <x:alignment vertical="top" wrapText="1"/>
    </x:xf>
    <x:xf numFmtId="201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200" fontId="6" fillId="0" borderId="16" xfId="0" applyNumberFormat="1" applyFont="1" applyFill="1" applyBorder="1" applyAlignment="1">
      <x:alignment vertical="top" wrapText="1"/>
    </x:xf>
    <x:xf numFmtId="201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7" fillId="2" borderId="9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2" borderId="18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200" fontId="6" fillId="0" borderId="18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5" fillId="2" borderId="18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wrapText="1"/>
    </x:xf>
    <x:xf numFmtId="200" fontId="6" fillId="0" borderId="18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fec37769a4946" /><Relationship Type="http://schemas.openxmlformats.org/officeDocument/2006/relationships/theme" Target="/xl/theme/theme1.xml" Id="Rdcd8b1ebafcb4f5f" /><Relationship Type="http://schemas.openxmlformats.org/officeDocument/2006/relationships/sharedStrings" Target="/xl/sharedStrings.xml" Id="R2f74bdc3ff1e46a5" /><Relationship Type="http://schemas.openxmlformats.org/officeDocument/2006/relationships/worksheet" Target="/xl/worksheets/sheet1.xml" Id="R914a5e47f3d64097" /><Relationship Type="http://schemas.openxmlformats.org/officeDocument/2006/relationships/worksheet" Target="/xl/worksheets/sheet2.xml" Id="Rb2ce84cb2ecf4855" /><Relationship Type="http://schemas.openxmlformats.org/officeDocument/2006/relationships/worksheet" Target="/xl/worksheets/sheet3.xml" Id="R608fe276fedb407c" /><Relationship Type="http://schemas.openxmlformats.org/officeDocument/2006/relationships/worksheet" Target="/xl/worksheets/sheet4.xml" Id="R875fd76dc70f4fa9" /><Relationship Type="http://schemas.openxmlformats.org/officeDocument/2006/relationships/worksheet" Target="/xl/worksheets/sheet5.xml" Id="Rd117731e784c4506" /><Relationship Type="http://schemas.openxmlformats.org/officeDocument/2006/relationships/worksheet" Target="/xl/worksheets/sheet6.xml" Id="Rd6d6984fbf5846e1" /><Relationship Type="http://schemas.openxmlformats.org/officeDocument/2006/relationships/worksheet" Target="/xl/worksheets/sheet7.xml" Id="Rd3ddde6f207640e5" /></Relationships>
</file>

<file path=xl/tables/table1.xml><?xml version="1.0" encoding="utf-8"?>
<x:table xmlns:x="http://schemas.openxmlformats.org/spreadsheetml/2006/main" id="1" name="ClickUpTasks" displayName="ClickUpTasks" ref="A1:S65" headerRowCount="1" totalsRowCount="0" totalsRowShown="0">
  <x:autoFilter ref="A1:S65"/>
  <x:tableColumns count="19">
    <x:tableColumn id="1" name="Sprint List"/>
    <x:tableColumn id="2" name="Task ID"/>
    <x:tableColumn id="3" name="Task Name"/>
    <x:tableColumn id="4" name="Description"/>
    <x:tableColumn id="5" name="Assignee"/>
    <x:tableColumn id="6" name="Reviewer"/>
    <x:tableColumn id="7" name="Status"/>
    <x:tableColumn id="8" name="Priority"/>
    <x:tableColumn id="9" name="Start Date"/>
    <x:tableColumn id="10" name="Due Date"/>
    <x:tableColumn id="11" name="Workstream"/>
    <x:tableColumn id="12" name="Tags"/>
    <x:tableColumn id="13" name="Dependencies"/>
    <x:tableColumn id="14" name="Effort Hours"/>
    <x:tableColumn id="15" name="Deliverable Path"/>
    <x:tableColumn id="16" name="Acceptance Criteria"/>
    <x:tableColumn id="17" name="Milestone"/>
    <x:tableColumn id="18" name="Risk"/>
    <x:tableColumn id="19" name="Data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f11a861dc0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0" hidden="0" customWidth="1"/>
    <x:col min="4" max="4" width="48" hidden="0" customWidth="1"/>
    <x:col min="5" max="5" width="14" hidden="0" customWidth="1"/>
    <x:col min="6" max="6" width="16" hidden="0" customWidth="1"/>
    <x:col min="7" max="7" width="13" hidden="0" customWidth="1"/>
    <x:col min="8" max="8" width="11" hidden="0" customWidth="1"/>
    <x:col min="9" max="9" width="13" hidden="0" customWidth="1"/>
    <x:col min="10" max="10" width="13" hidden="0" customWidth="1"/>
    <x:col min="11" max="11" width="14" hidden="0" customWidth="1"/>
    <x:col min="12" max="12" width="30" hidden="0" customWidth="1"/>
    <x:col min="13" max="13" width="26" hidden="0" customWidth="1"/>
    <x:col min="14" max="14" width="12" hidden="0" customWidth="1"/>
    <x:col min="15" max="15" width="36" hidden="0" customWidth="1"/>
    <x:col min="16" max="16" width="55" hidden="0" customWidth="1"/>
    <x:col min="17" max="17" width="28" hidden="0" customWidth="1"/>
    <x:col min="18" max="18" width="11" hidden="0" customWidth="1"/>
    <x:col min="19" max="19" width="14" hidden="0" customWidth="1"/>
  </x:cols>
  <x:sheetData>
    <x:row r="1" ht="34" customHeight="1">
      <x:c r="A1" s="112" t="str">
        <x:v>Sprint List</x:v>
      </x:c>
      <x:c r="B1" s="100" t="str">
        <x:v>Task ID</x:v>
      </x:c>
      <x:c r="C1" s="100" t="str">
        <x:v>Task Name</x:v>
      </x:c>
      <x:c r="D1" s="100" t="str">
        <x:v>Description</x:v>
      </x:c>
      <x:c r="E1" s="100" t="str">
        <x:v>Assignee</x:v>
      </x:c>
      <x:c r="F1" s="100" t="str">
        <x:v>Reviewer</x:v>
      </x:c>
      <x:c r="G1" s="100" t="str">
        <x:v>Status</x:v>
      </x:c>
      <x:c r="H1" s="100" t="str">
        <x:v>Priority</x:v>
      </x:c>
      <x:c r="I1" s="100" t="str">
        <x:v>Start Date</x:v>
      </x:c>
      <x:c r="J1" s="100" t="str">
        <x:v>Due Date</x:v>
      </x:c>
      <x:c r="K1" s="100" t="str">
        <x:v>Workstream</x:v>
      </x:c>
      <x:c r="L1" s="100" t="str">
        <x:v>Tags</x:v>
      </x:c>
      <x:c r="M1" s="100" t="str">
        <x:v>Dependencies</x:v>
      </x:c>
      <x:c r="N1" s="100" t="str">
        <x:v>Effort Hours</x:v>
      </x:c>
      <x:c r="O1" s="100" t="str">
        <x:v>Deliverable Path</x:v>
      </x:c>
      <x:c r="P1" s="100" t="str">
        <x:v>Acceptance Criteria</x:v>
      </x:c>
      <x:c r="Q1" s="100" t="str">
        <x:v>Milestone</x:v>
      </x:c>
      <x:c r="R1" s="100" t="str">
        <x:v>Risk</x:v>
      </x:c>
      <x:c r="S1" s="101" t="str">
        <x:v>Data Status</x:v>
      </x:c>
    </x:row>
    <x:row r="2">
      <x:c r="A2" s="102" t="str">
        <x:v>S1 — Foundation &amp; Data Freeze</x:v>
      </x:c>
      <x:c r="B2" s="103" t="str">
        <x:v>S1-VEN-01</x:v>
      </x:c>
      <x:c r="C2" s="103" t="str">
        <x:v>[S1-VEN-01] Clean pipeline rerun dan baseline QA</x:v>
      </x:c>
      <x:c r="D2" s="103" t="str">
        <x:v>Jalankan pipeline dari snapshot raw pada environment bersih dan rekam seluruh pemeriksaan.</x:v>
      </x:c>
      <x:c r="E2" s="103" t="str">
        <x:v>Venedict</x:v>
      </x:c>
      <x:c r="F2" s="103" t="str">
        <x:v>Stephen</x:v>
      </x:c>
      <x:c r="G2" s="103" t="str">
        <x:v>READY</x:v>
      </x:c>
      <x:c r="H2" s="103" t="str">
        <x:v>Urgent</x:v>
      </x:c>
      <x:c r="I2" s="104" t="n">
        <x:v>46258</x:v>
      </x:c>
      <x:c r="J2" s="104" t="n">
        <x:v>46264</x:v>
      </x:c>
      <x:c r="K2" s="103" t="str">
        <x:v>Data</x:v>
      </x:c>
      <x:c r="L2" s="103" t="str">
        <x:v>tb-insight;real-data;s1;data</x:v>
      </x:c>
      <x:c r="M2" s="103" t="str"/>
      <x:c r="N2" s="105" t="n">
        <x:v>12</x:v>
      </x:c>
      <x:c r="O2" s="103" t="str">
        <x:v>results/qa/s1_pipeline_qa.md</x:v>
      </x:c>
      <x:c r="P2" s="103" t="str">
        <x:v>Pipeline selesai tanpa error; panel 912 baris, 38 provinsi, 24 bulan; duplicate key dan missing wajib = 0.</x:v>
      </x:c>
      <x:c r="Q2" s="103" t="str"/>
      <x:c r="R2" s="103" t="str">
        <x:v>High</x:v>
      </x:c>
      <x:c r="S2" s="106" t="str">
        <x:v>Provisional</x:v>
      </x:c>
    </x:row>
    <x:row r="3">
      <x:c r="A3" s="102" t="str">
        <x:v>S1 — Foundation &amp; Data Freeze</x:v>
      </x:c>
      <x:c r="B3" s="103" t="str">
        <x:v>S1-VEN-02</x:v>
      </x:c>
      <x:c r="C3" s="103" t="str">
        <x:v>[S1-VEN-02] Freeze dataset v1, checksum, dictionary, ledger</x:v>
      </x:c>
      <x:c r="D3" s="103" t="str">
        <x:v>Bekukan input/output utama serta metadata provenance untuk analysis baseline.</x:v>
      </x:c>
      <x:c r="E3" s="103" t="str">
        <x:v>Venedict</x:v>
      </x:c>
      <x:c r="F3" s="103" t="str">
        <x:v>Adzki</x:v>
      </x:c>
      <x:c r="G3" s="103" t="str">
        <x:v>READY</x:v>
      </x:c>
      <x:c r="H3" s="103" t="str">
        <x:v>Urgent</x:v>
      </x:c>
      <x:c r="I3" s="104" t="n">
        <x:v>46258</x:v>
      </x:c>
      <x:c r="J3" s="104" t="n">
        <x:v>46264</x:v>
      </x:c>
      <x:c r="K3" s="103" t="str">
        <x:v>Data</x:v>
      </x:c>
      <x:c r="L3" s="103" t="str">
        <x:v>tb-insight;real-data;s1;data</x:v>
      </x:c>
      <x:c r="M3" s="103" t="str">
        <x:v>S1-VEN-01</x:v>
      </x:c>
      <x:c r="N3" s="105" t="n">
        <x:v>10</x:v>
      </x:c>
      <x:c r="O3" s="103" t="str">
        <x:v>data/processed/release_v1/</x:v>
      </x:c>
      <x:c r="P3" s="103" t="str">
        <x:v>Manifest berisi checksum, tanggal akses, unit, periode, sumber, dan limitation; raw tidak berubah.</x:v>
      </x:c>
      <x:c r="Q3" s="103" t="str"/>
      <x:c r="R3" s="103" t="str">
        <x:v>High</x:v>
      </x:c>
      <x:c r="S3" s="106" t="str">
        <x:v>Frozen</x:v>
      </x:c>
    </x:row>
    <x:row r="4">
      <x:c r="A4" s="102" t="str">
        <x:v>S1 — Foundation &amp; Data Freeze</x:v>
      </x:c>
      <x:c r="B4" s="103" t="str">
        <x:v>S1-STE-01</x:v>
      </x:c>
      <x:c r="C4" s="103" t="str">
        <x:v>[S1-STE-01] Preregister analysis plan internal</x:v>
      </x:c>
      <x:c r="D4" s="103" t="str">
        <x:v>Tetapkan estimand, outcome, offset, fixed effects, lag 0–3, interaksi, dan sensitivity inti.</x:v>
      </x:c>
      <x:c r="E4" s="103" t="str">
        <x:v>Stephen</x:v>
      </x:c>
      <x:c r="F4" s="103" t="str">
        <x:v>Venedict</x:v>
      </x:c>
      <x:c r="G4" s="103" t="str">
        <x:v>READY</x:v>
      </x:c>
      <x:c r="H4" s="103" t="str">
        <x:v>Urgent</x:v>
      </x:c>
      <x:c r="I4" s="104" t="n">
        <x:v>46258</x:v>
      </x:c>
      <x:c r="J4" s="104" t="n">
        <x:v>46264</x:v>
      </x:c>
      <x:c r="K4" s="103" t="str">
        <x:v>Modeling</x:v>
      </x:c>
      <x:c r="L4" s="103" t="str">
        <x:v>tb-insight;real-data;s1;modeling</x:v>
      </x:c>
      <x:c r="M4" s="103" t="str">
        <x:v>S1-VEN-01</x:v>
      </x:c>
      <x:c r="N4" s="105" t="n">
        <x:v>14</x:v>
      </x:c>
      <x:c r="O4" s="103" t="str">
        <x:v>docs/analysis-plan-v1.md</x:v>
      </x:c>
      <x:c r="P4" s="103" t="str">
        <x:v>Satu model primer dan daftar sensitivity tertulis sebelum model lanjutan dijalankan; tidak ada forecasting operasional.</x:v>
      </x:c>
      <x:c r="Q4" s="103" t="str"/>
      <x:c r="R4" s="103" t="str">
        <x:v>High</x:v>
      </x:c>
      <x:c r="S4" s="106" t="str">
        <x:v>Provisional</x:v>
      </x:c>
    </x:row>
    <x:row r="5">
      <x:c r="A5" s="102" t="str">
        <x:v>S1 — Foundation &amp; Data Freeze</x:v>
      </x:c>
      <x:c r="B5" s="103" t="str">
        <x:v>S1-STE-02</x:v>
      </x:c>
      <x:c r="C5" s="103" t="str">
        <x:v>[S1-STE-02] Audit hasil PPML preliminary</x:v>
      </x:c>
      <x:c r="D5" s="103" t="str">
        <x:v>Verifikasi formula, offset, FE, standard error, label variabel, dan interpretasi hasil awal.</x:v>
      </x:c>
      <x:c r="E5" s="103" t="str">
        <x:v>Stephen</x:v>
      </x:c>
      <x:c r="F5" s="103" t="str">
        <x:v>Venedict</x:v>
      </x:c>
      <x:c r="G5" s="103" t="str">
        <x:v>READY</x:v>
      </x:c>
      <x:c r="H5" s="103" t="str">
        <x:v>High</x:v>
      </x:c>
      <x:c r="I5" s="104" t="n">
        <x:v>46258</x:v>
      </x:c>
      <x:c r="J5" s="104" t="n">
        <x:v>46264</x:v>
      </x:c>
      <x:c r="K5" s="103" t="str">
        <x:v>Modeling</x:v>
      </x:c>
      <x:c r="L5" s="103" t="str">
        <x:v>tb-insight;real-data;s1;modeling</x:v>
      </x:c>
      <x:c r="M5" s="103" t="str">
        <x:v>S1-STE-01</x:v>
      </x:c>
      <x:c r="N5" s="105" t="n">
        <x:v>8</x:v>
      </x:c>
      <x:c r="O5" s="103" t="str">
        <x:v>results/model_audit_s1.md</x:v>
      </x:c>
      <x:c r="P5" s="103" t="str">
        <x:v>Setiap coefficient dapat ditelusuri ke script dan diberi interpretasi IRR yang benar; issue log tersedia.</x:v>
      </x:c>
      <x:c r="Q5" s="103" t="str"/>
      <x:c r="R5" s="103" t="str">
        <x:v>Medium</x:v>
      </x:c>
      <x:c r="S5" s="106" t="str">
        <x:v>Not Applicable</x:v>
      </x:c>
    </x:row>
    <x:row r="6">
      <x:c r="A6" s="102" t="str">
        <x:v>S1 — Foundation &amp; Data Freeze</x:v>
      </x:c>
      <x:c r="B6" s="103" t="str">
        <x:v>S1-DAM-01</x:v>
      </x:c>
      <x:c r="C6" s="103" t="str">
        <x:v>[S1-DAM-01] Audit boundary, CRS, dan province IDs</x:v>
      </x:c>
      <x:c r="D6" s="103" t="str">
        <x:v>Cocokkan 38 provinsi pada panel dengan geometri, kode wilayah, centroid, dan perubahan Papua.</x:v>
      </x:c>
      <x:c r="E6" s="103" t="str">
        <x:v>Dame</x:v>
      </x:c>
      <x:c r="F6" s="103" t="str">
        <x:v>Venedict</x:v>
      </x:c>
      <x:c r="G6" s="103" t="str">
        <x:v>READY</x:v>
      </x:c>
      <x:c r="H6" s="103" t="str">
        <x:v>Urgent</x:v>
      </x:c>
      <x:c r="I6" s="104" t="n">
        <x:v>46258</x:v>
      </x:c>
      <x:c r="J6" s="104" t="n">
        <x:v>46264</x:v>
      </x:c>
      <x:c r="K6" s="103" t="str">
        <x:v>Spatial</x:v>
      </x:c>
      <x:c r="L6" s="103" t="str">
        <x:v>tb-insight;real-data;s1;spatial</x:v>
      </x:c>
      <x:c r="M6" s="103" t="str">
        <x:v>S1-VEN-02</x:v>
      </x:c>
      <x:c r="N6" s="105" t="n">
        <x:v>12</x:v>
      </x:c>
      <x:c r="O6" s="103" t="str">
        <x:v>results/spatial/boundary_audit.csv</x:v>
      </x:c>
      <x:c r="P6" s="103" t="str">
        <x:v>Semua 38 provinsi match satu-ke-satu; CRS dan geometri valid; mismatch = 0.</x:v>
      </x:c>
      <x:c r="Q6" s="103" t="str"/>
      <x:c r="R6" s="103" t="str">
        <x:v>High</x:v>
      </x:c>
      <x:c r="S6" s="106" t="str">
        <x:v>Frozen</x:v>
      </x:c>
    </x:row>
    <x:row r="7">
      <x:c r="A7" s="102" t="str">
        <x:v>S1 — Foundation &amp; Data Freeze</x:v>
      </x:c>
      <x:c r="B7" s="103" t="str">
        <x:v>S1-DAM-02</x:v>
      </x:c>
      <x:c r="C7" s="103" t="str">
        <x:v>[S1-DAM-02] Spatial weights decision memo</x:v>
      </x:c>
      <x:c r="D7" s="103" t="str">
        <x:v>Definisikan queen/rook/KNN kandidat dan aturan eksplisit untuk provinsi kepulauan.</x:v>
      </x:c>
      <x:c r="E7" s="103" t="str">
        <x:v>Dame</x:v>
      </x:c>
      <x:c r="F7" s="103" t="str">
        <x:v>Stephen</x:v>
      </x:c>
      <x:c r="G7" s="103" t="str">
        <x:v>READY</x:v>
      </x:c>
      <x:c r="H7" s="103" t="str">
        <x:v>High</x:v>
      </x:c>
      <x:c r="I7" s="104" t="n">
        <x:v>46258</x:v>
      </x:c>
      <x:c r="J7" s="104" t="n">
        <x:v>46264</x:v>
      </x:c>
      <x:c r="K7" s="103" t="str">
        <x:v>Spatial</x:v>
      </x:c>
      <x:c r="L7" s="103" t="str">
        <x:v>tb-insight;real-data;s1;spatial</x:v>
      </x:c>
      <x:c r="M7" s="103" t="str">
        <x:v>S1-DAM-01</x:v>
      </x:c>
      <x:c r="N7" s="105" t="n">
        <x:v>8</x:v>
      </x:c>
      <x:c r="O7" s="103" t="str">
        <x:v>docs/spatial-weights-decision.md</x:v>
      </x:c>
      <x:c r="P7" s="103" t="str">
        <x:v>Metode primer dan alternatif ditetapkan; islands/Papua tidak memiliki neighbor secara tidak sengaja.</x:v>
      </x:c>
      <x:c r="Q7" s="103" t="str"/>
      <x:c r="R7" s="103" t="str">
        <x:v>Medium</x:v>
      </x:c>
      <x:c r="S7" s="106" t="str">
        <x:v>Not Applicable</x:v>
      </x:c>
    </x:row>
    <x:row r="8">
      <x:c r="A8" s="102" t="str">
        <x:v>S1 — Foundation &amp; Data Freeze</x:v>
      </x:c>
      <x:c r="B8" s="103" t="str">
        <x:v>S1-ERI-01</x:v>
      </x:c>
      <x:c r="C8" s="103" t="str">
        <x:v>[S1-ERI-01] Information architecture dan user flow</x:v>
      </x:c>
      <x:c r="D8" s="103" t="str">
        <x:v>Susun perjalanan pengguna Overview–Trend–Map–Methods–Sources sesuai pertanyaan penelitian.</x:v>
      </x:c>
      <x:c r="E8" s="103" t="str">
        <x:v>Erin</x:v>
      </x:c>
      <x:c r="F8" s="103" t="str">
        <x:v>Dame</x:v>
      </x:c>
      <x:c r="G8" s="103" t="str">
        <x:v>READY</x:v>
      </x:c>
      <x:c r="H8" s="103" t="str">
        <x:v>High</x:v>
      </x:c>
      <x:c r="I8" s="104" t="n">
        <x:v>46258</x:v>
      </x:c>
      <x:c r="J8" s="104" t="n">
        <x:v>46264</x:v>
      </x:c>
      <x:c r="K8" s="103" t="str">
        <x:v>Product</x:v>
      </x:c>
      <x:c r="L8" s="103" t="str">
        <x:v>tb-insight;real-data;s1;product</x:v>
      </x:c>
      <x:c r="M8" s="103" t="str"/>
      <x:c r="N8" s="105" t="n">
        <x:v>12</x:v>
      </x:c>
      <x:c r="O8" s="103" t="str">
        <x:v>docs/design/ia-user-flow.pdf</x:v>
      </x:c>
      <x:c r="P8" s="103" t="str">
        <x:v>Lima halaman inti, tujuan pengguna, dan alur navigasi disetujui pada review lintas peran.</x:v>
      </x:c>
      <x:c r="Q8" s="103" t="str"/>
      <x:c r="R8" s="103" t="str">
        <x:v>Medium</x:v>
      </x:c>
      <x:c r="S8" s="106" t="str">
        <x:v>Not Applicable</x:v>
      </x:c>
    </x:row>
    <x:row r="9">
      <x:c r="A9" s="102" t="str">
        <x:v>S1 — Foundation &amp; Data Freeze</x:v>
      </x:c>
      <x:c r="B9" s="103" t="str">
        <x:v>S1-ERI-02</x:v>
      </x:c>
      <x:c r="C9" s="103" t="str">
        <x:v>[S1-ERI-02] Provenance dan provisional display rules</x:v>
      </x:c>
      <x:c r="D9" s="103" t="str">
        <x:v>Rancang pola UI untuk definisi outcome, status data 2025, sumber, ketidakpastian, dan limitation.</x:v>
      </x:c>
      <x:c r="E9" s="103" t="str">
        <x:v>Erin</x:v>
      </x:c>
      <x:c r="F9" s="103" t="str">
        <x:v>Adzki</x:v>
      </x:c>
      <x:c r="G9" s="103" t="str">
        <x:v>READY</x:v>
      </x:c>
      <x:c r="H9" s="103" t="str">
        <x:v>Urgent</x:v>
      </x:c>
      <x:c r="I9" s="104" t="n">
        <x:v>46258</x:v>
      </x:c>
      <x:c r="J9" s="104" t="n">
        <x:v>46264</x:v>
      </x:c>
      <x:c r="K9" s="103" t="str">
        <x:v>Product</x:v>
      </x:c>
      <x:c r="L9" s="103" t="str">
        <x:v>tb-insight;real-data;s1;product</x:v>
      </x:c>
      <x:c r="M9" s="103" t="str">
        <x:v>S1-ERI-01,S1-VEN-02</x:v>
      </x:c>
      <x:c r="N9" s="105" t="n">
        <x:v>10</x:v>
      </x:c>
      <x:c r="O9" s="103" t="str">
        <x:v>docs/design/data-status-patterns.pdf</x:v>
      </x:c>
      <x:c r="P9" s="103" t="str">
        <x:v>Warning 2025 dan definisi treatment_started terlihat pada konteks angka; tidak hanya di footer.</x:v>
      </x:c>
      <x:c r="Q9" s="103" t="str"/>
      <x:c r="R9" s="103" t="str">
        <x:v>Medium</x:v>
      </x:c>
      <x:c r="S9" s="106" t="str">
        <x:v>Not Applicable</x:v>
      </x:c>
    </x:row>
    <x:row r="10">
      <x:c r="A10" s="102" t="str">
        <x:v>S1 — Foundation &amp; Data Freeze</x:v>
      </x:c>
      <x:c r="B10" s="103" t="str">
        <x:v>S1-ADZ-01</x:v>
      </x:c>
      <x:c r="C10" s="103" t="str">
        <x:v>[S1-ADZ-01] Literature evidence matrix</x:v>
      </x:c>
      <x:c r="D10" s="103" t="str">
        <x:v>Kurasi literatur TB–iklim–sosial–spatial dan petakan temuan, metode, gap, serta relevansi.</x:v>
      </x:c>
      <x:c r="E10" s="103" t="str">
        <x:v>Adzki</x:v>
      </x:c>
      <x:c r="F10" s="103" t="str">
        <x:v>Stephen</x:v>
      </x:c>
      <x:c r="G10" s="103" t="str">
        <x:v>READY</x:v>
      </x:c>
      <x:c r="H10" s="103" t="str">
        <x:v>Urgent</x:v>
      </x:c>
      <x:c r="I10" s="104" t="n">
        <x:v>46258</x:v>
      </x:c>
      <x:c r="J10" s="104" t="n">
        <x:v>46264</x:v>
      </x:c>
      <x:c r="K10" s="103" t="str">
        <x:v>Writing</x:v>
      </x:c>
      <x:c r="L10" s="103" t="str">
        <x:v>tb-insight;real-data;s1;writing</x:v>
      </x:c>
      <x:c r="M10" s="103" t="str"/>
      <x:c r="N10" s="105" t="n">
        <x:v>18</x:v>
      </x:c>
      <x:c r="O10" s="103" t="str">
        <x:v>docs/writing/literature-evidence-matrix.xlsx</x:v>
      </x:c>
      <x:c r="P10" s="103" t="str">
        <x:v>Setiap klaim memiliki DOI/URL, desain, lokasi, outcome, exposure, metode, limitation, dan relevansi.</x:v>
      </x:c>
      <x:c r="Q10" s="103" t="str"/>
      <x:c r="R10" s="103" t="str">
        <x:v>Medium</x:v>
      </x:c>
      <x:c r="S10" s="106" t="str">
        <x:v>Not Applicable</x:v>
      </x:c>
    </x:row>
    <x:row r="11">
      <x:c r="A11" s="102" t="str">
        <x:v>S1 — Foundation &amp; Data Freeze</x:v>
      </x:c>
      <x:c r="B11" s="103" t="str">
        <x:v>S1-ADZ-02</x:v>
      </x:c>
      <x:c r="C11" s="103" t="str">
        <x:v>[S1-ADZ-02] Manuscript outline dan terminology glossary</x:v>
      </x:c>
      <x:c r="D11" s="103" t="str">
        <x:v>Buat outline section-level serta glossary istilah wajib/terlarang.</x:v>
      </x:c>
      <x:c r="E11" s="103" t="str">
        <x:v>Adzki</x:v>
      </x:c>
      <x:c r="F11" s="103" t="str">
        <x:v>Venedict</x:v>
      </x:c>
      <x:c r="G11" s="103" t="str">
        <x:v>READY</x:v>
      </x:c>
      <x:c r="H11" s="103" t="str">
        <x:v>High</x:v>
      </x:c>
      <x:c r="I11" s="104" t="n">
        <x:v>46258</x:v>
      </x:c>
      <x:c r="J11" s="104" t="n">
        <x:v>46264</x:v>
      </x:c>
      <x:c r="K11" s="103" t="str">
        <x:v>Writing</x:v>
      </x:c>
      <x:c r="L11" s="103" t="str">
        <x:v>tb-insight;real-data;s1;writing</x:v>
      </x:c>
      <x:c r="M11" s="103" t="str">
        <x:v>S1-ADZ-01,S1-STE-01</x:v>
      </x:c>
      <x:c r="N11" s="105" t="n">
        <x:v>10</x:v>
      </x:c>
      <x:c r="O11" s="103" t="str">
        <x:v>docs/writing/manuscript-outline-v1.md</x:v>
      </x:c>
      <x:c r="P11" s="103" t="str">
        <x:v>Outline menjawab empat research questions; treatment initiation tidak disebut insidensi; limitation teralokasi.</x:v>
      </x:c>
      <x:c r="Q11" s="103" t="str"/>
      <x:c r="R11" s="103" t="str">
        <x:v>Medium</x:v>
      </x:c>
      <x:c r="S11" s="106" t="str">
        <x:v>Not Applicable</x:v>
      </x:c>
    </x:row>
    <x:row r="12">
      <x:c r="A12" s="102" t="str">
        <x:v>S1 — Foundation &amp; Data Freeze</x:v>
      </x:c>
      <x:c r="B12" s="103" t="str">
        <x:v>M1</x:v>
      </x:c>
      <x:c r="C12" s="103" t="str">
        <x:v>[M1] M1 — Data &amp; Question Freeze</x:v>
      </x:c>
      <x:c r="D12" s="103" t="str">
        <x:v>Gate review atas dataset, research question, model primer, spatial contract, UX contract, dan outline.</x:v>
      </x:c>
      <x:c r="E12" s="103" t="str">
        <x:v>Venedict</x:v>
      </x:c>
      <x:c r="F12" s="103" t="str">
        <x:v>Seluruh Tim</x:v>
      </x:c>
      <x:c r="G12" s="103" t="str">
        <x:v>READY</x:v>
      </x:c>
      <x:c r="H12" s="103" t="str">
        <x:v>Urgent</x:v>
      </x:c>
      <x:c r="I12" s="104" t="n">
        <x:v>46258</x:v>
      </x:c>
      <x:c r="J12" s="104" t="n">
        <x:v>46264</x:v>
      </x:c>
      <x:c r="K12" s="103" t="str">
        <x:v>QA</x:v>
      </x:c>
      <x:c r="L12" s="103" t="str">
        <x:v>tb-insight;real-data;s1;qa</x:v>
      </x:c>
      <x:c r="M12" s="103" t="str">
        <x:v>S1-VEN-02,S1-STE-01,S1-DAM-02,S1-ERI-02,S1-ADZ-02</x:v>
      </x:c>
      <x:c r="N12" s="105" t="n">
        <x:v>5</x:v>
      </x:c>
      <x:c r="O12" s="103" t="str">
        <x:v>docs/decisions/M1-signoff.md</x:v>
      </x:c>
      <x:c r="P12" s="103" t="str">
        <x:v>Lima workstream sign-off; open issue High memiliki owner dan due date.</x:v>
      </x:c>
      <x:c r="Q12" s="103" t="str">
        <x:v>M1 Data &amp; Question Freeze</x:v>
      </x:c>
      <x:c r="R12" s="103" t="str">
        <x:v>High</x:v>
      </x:c>
      <x:c r="S12" s="106" t="str">
        <x:v>Frozen</x:v>
      </x:c>
    </x:row>
    <x:row r="13">
      <x:c r="A13" s="102" t="str">
        <x:v>S2 — EDA &amp; Spatial Foundation</x:v>
      </x:c>
      <x:c r="B13" s="103" t="str">
        <x:v>S2-VEN-01</x:v>
      </x:c>
      <x:c r="C13" s="103" t="str">
        <x:v>[S2-VEN-01] National temporal EDA</x:v>
      </x:c>
      <x:c r="D13" s="103" t="str">
        <x:v>Analisis tren bulanan nasional: count, rate per population, distribusi, outlier, dan pola kalender.</x:v>
      </x:c>
      <x:c r="E13" s="103" t="str">
        <x:v>Venedict</x:v>
      </x:c>
      <x:c r="F13" s="103" t="str">
        <x:v>Stephen</x:v>
      </x:c>
      <x:c r="G13" s="103" t="str">
        <x:v>BACKLOG</x:v>
      </x:c>
      <x:c r="H13" s="103" t="str">
        <x:v>Urgent</x:v>
      </x:c>
      <x:c r="I13" s="104" t="n">
        <x:v>46265</x:v>
      </x:c>
      <x:c r="J13" s="104" t="n">
        <x:v>46271</x:v>
      </x:c>
      <x:c r="K13" s="103" t="str">
        <x:v>Data</x:v>
      </x:c>
      <x:c r="L13" s="103" t="str">
        <x:v>tb-insight;real-data;s2;data</x:v>
      </x:c>
      <x:c r="M13" s="103" t="str">
        <x:v>M1</x:v>
      </x:c>
      <x:c r="N13" s="105" t="n">
        <x:v>14</x:v>
      </x:c>
      <x:c r="O13" s="103" t="str">
        <x:v>results/eda/national_temporal/</x:v>
      </x:c>
      <x:c r="P13" s="103" t="str">
        <x:v>Semua figure diturunkan dari panel frozen; count dan rate tidak tertukar; 2025 ditandai provisional.</x:v>
      </x:c>
      <x:c r="Q13" s="103" t="str"/>
      <x:c r="R13" s="103" t="str">
        <x:v>Medium</x:v>
      </x:c>
      <x:c r="S13" s="106" t="str">
        <x:v>Not Applicable</x:v>
      </x:c>
    </x:row>
    <x:row r="14">
      <x:c r="A14" s="102" t="str">
        <x:v>S2 — EDA &amp; Spatial Foundation</x:v>
      </x:c>
      <x:c r="B14" s="103" t="str">
        <x:v>S2-VEN-02</x:v>
      </x:c>
      <x:c r="C14" s="103" t="str">
        <x:v>[S2-VEN-02] Province profiles dan data maturity</x:v>
      </x:c>
      <x:c r="D14" s="103" t="str">
        <x:v>Buat profil 38 provinsi dan audit data maturity/outcome_pending.</x:v>
      </x:c>
      <x:c r="E14" s="103" t="str">
        <x:v>Venedict</x:v>
      </x:c>
      <x:c r="F14" s="103" t="str">
        <x:v>Adzki</x:v>
      </x:c>
      <x:c r="G14" s="103" t="str">
        <x:v>BACKLOG</x:v>
      </x:c>
      <x:c r="H14" s="103" t="str">
        <x:v>High</x:v>
      </x:c>
      <x:c r="I14" s="104" t="n">
        <x:v>46265</x:v>
      </x:c>
      <x:c r="J14" s="104" t="n">
        <x:v>46271</x:v>
      </x:c>
      <x:c r="K14" s="103" t="str">
        <x:v>Data</x:v>
      </x:c>
      <x:c r="L14" s="103" t="str">
        <x:v>tb-insight;real-data;s2;data</x:v>
      </x:c>
      <x:c r="M14" s="103" t="str">
        <x:v>M1</x:v>
      </x:c>
      <x:c r="N14" s="105" t="n">
        <x:v>16</x:v>
      </x:c>
      <x:c r="O14" s="103" t="str">
        <x:v>results/eda/province_profiles/</x:v>
      </x:c>
      <x:c r="P14" s="103" t="str">
        <x:v>38 profil tersedia dengan unit/period/source; anomalous observations memiliki flag dan catatan.</x:v>
      </x:c>
      <x:c r="Q14" s="103" t="str"/>
      <x:c r="R14" s="103" t="str">
        <x:v>Medium</x:v>
      </x:c>
      <x:c r="S14" s="106" t="str">
        <x:v>Not Applicable</x:v>
      </x:c>
    </x:row>
    <x:row r="15">
      <x:c r="A15" s="102" t="str">
        <x:v>S2 — EDA &amp; Spatial Foundation</x:v>
      </x:c>
      <x:c r="B15" s="103" t="str">
        <x:v>S2-STE-01</x:v>
      </x:c>
      <x:c r="C15" s="103" t="str">
        <x:v>[S2-STE-01] Baseline PPML fixed effects</x:v>
      </x:c>
      <x:c r="D15" s="103" t="str">
        <x:v>Jalankan model primer tanpa exposure lanjutan dan simpan coefficient, CI, diagnostics, serta metadata.</x:v>
      </x:c>
      <x:c r="E15" s="103" t="str">
        <x:v>Stephen</x:v>
      </x:c>
      <x:c r="F15" s="103" t="str">
        <x:v>Venedict</x:v>
      </x:c>
      <x:c r="G15" s="103" t="str">
        <x:v>BACKLOG</x:v>
      </x:c>
      <x:c r="H15" s="103" t="str">
        <x:v>Urgent</x:v>
      </x:c>
      <x:c r="I15" s="104" t="n">
        <x:v>46265</x:v>
      </x:c>
      <x:c r="J15" s="104" t="n">
        <x:v>46271</x:v>
      </x:c>
      <x:c r="K15" s="103" t="str">
        <x:v>Modeling</x:v>
      </x:c>
      <x:c r="L15" s="103" t="str">
        <x:v>tb-insight;real-data;s2;modeling</x:v>
      </x:c>
      <x:c r="M15" s="103" t="str">
        <x:v>M1</x:v>
      </x:c>
      <x:c r="N15" s="105" t="n">
        <x:v>18</x:v>
      </x:c>
      <x:c r="O15" s="103" t="str">
        <x:v>results/models/baseline_ppml/</x:v>
      </x:c>
      <x:c r="P15" s="103" t="str">
        <x:v>Offset populasi dan FE sesuai plan; convergence terdokumentasi; output machine-readable tersedia.</x:v>
      </x:c>
      <x:c r="Q15" s="103" t="str"/>
      <x:c r="R15" s="103" t="str">
        <x:v>Medium</x:v>
      </x:c>
      <x:c r="S15" s="106" t="str">
        <x:v>Not Applicable</x:v>
      </x:c>
    </x:row>
    <x:row r="16">
      <x:c r="A16" s="102" t="str">
        <x:v>S2 — EDA &amp; Spatial Foundation</x:v>
      </x:c>
      <x:c r="B16" s="103" t="str">
        <x:v>S2-STE-02</x:v>
      </x:c>
      <x:c r="C16" s="103" t="str">
        <x:v>[S2-STE-02] Baseline diagnostics dan model table v0</x:v>
      </x:c>
      <x:c r="D16" s="103" t="str">
        <x:v>Periksa dispersion, influential provinces, convergence, residuals, serta bangun tabel model awal.</x:v>
      </x:c>
      <x:c r="E16" s="103" t="str">
        <x:v>Stephen</x:v>
      </x:c>
      <x:c r="F16" s="103" t="str">
        <x:v>Venedict</x:v>
      </x:c>
      <x:c r="G16" s="103" t="str">
        <x:v>BACKLOG</x:v>
      </x:c>
      <x:c r="H16" s="103" t="str">
        <x:v>High</x:v>
      </x:c>
      <x:c r="I16" s="104" t="n">
        <x:v>46265</x:v>
      </x:c>
      <x:c r="J16" s="104" t="n">
        <x:v>46271</x:v>
      </x:c>
      <x:c r="K16" s="103" t="str">
        <x:v>Modeling</x:v>
      </x:c>
      <x:c r="L16" s="103" t="str">
        <x:v>tb-insight;real-data;s2;modeling</x:v>
      </x:c>
      <x:c r="M16" s="103" t="str">
        <x:v>S2-STE-01</x:v>
      </x:c>
      <x:c r="N16" s="105" t="n">
        <x:v>10</x:v>
      </x:c>
      <x:c r="O16" s="103" t="str">
        <x:v>results/models/baseline_diagnostics/</x:v>
      </x:c>
      <x:c r="P16" s="103" t="str">
        <x:v>Diagnostic checklist lengkap dan tidak ada model gagal yang dilaporkan sebagai final.</x:v>
      </x:c>
      <x:c r="Q16" s="103" t="str"/>
      <x:c r="R16" s="103" t="str">
        <x:v>Medium</x:v>
      </x:c>
      <x:c r="S16" s="106" t="str">
        <x:v>Not Applicable</x:v>
      </x:c>
    </x:row>
    <x:row r="17">
      <x:c r="A17" s="102" t="str">
        <x:v>S2 — EDA &amp; Spatial Foundation</x:v>
      </x:c>
      <x:c r="B17" s="103" t="str">
        <x:v>S2-DAM-01</x:v>
      </x:c>
      <x:c r="C17" s="103" t="str">
        <x:v>[S2-DAM-01] Versioned spatial weights dan Global Moran</x:v>
      </x:c>
      <x:c r="D17" s="103" t="str">
        <x:v>Bangun weights primer/alternatif dan hitung Global Moran's I untuk count/rate atau residual sesuai protokol.</x:v>
      </x:c>
      <x:c r="E17" s="103" t="str">
        <x:v>Dame</x:v>
      </x:c>
      <x:c r="F17" s="103" t="str">
        <x:v>Stephen</x:v>
      </x:c>
      <x:c r="G17" s="103" t="str">
        <x:v>BACKLOG</x:v>
      </x:c>
      <x:c r="H17" s="103" t="str">
        <x:v>Urgent</x:v>
      </x:c>
      <x:c r="I17" s="104" t="n">
        <x:v>46265</x:v>
      </x:c>
      <x:c r="J17" s="104" t="n">
        <x:v>46271</x:v>
      </x:c>
      <x:c r="K17" s="103" t="str">
        <x:v>Spatial</x:v>
      </x:c>
      <x:c r="L17" s="103" t="str">
        <x:v>tb-insight;real-data;s2;spatial</x:v>
      </x:c>
      <x:c r="M17" s="103" t="str">
        <x:v>M1</x:v>
      </x:c>
      <x:c r="N17" s="105" t="n">
        <x:v>18</x:v>
      </x:c>
      <x:c r="O17" s="103" t="str">
        <x:v>results/spatial/weights_v1/</x:v>
      </x:c>
      <x:c r="P17" s="103" t="str">
        <x:v>Weights, neighbor list, seed/permutations, dan Moran output dapat direproduksi.</x:v>
      </x:c>
      <x:c r="Q17" s="103" t="str"/>
      <x:c r="R17" s="103" t="str">
        <x:v>Medium</x:v>
      </x:c>
      <x:c r="S17" s="106" t="str">
        <x:v>Not Applicable</x:v>
      </x:c>
    </x:row>
    <x:row r="18">
      <x:c r="A18" s="102" t="str">
        <x:v>S2 — EDA &amp; Spatial Foundation</x:v>
      </x:c>
      <x:c r="B18" s="103" t="str">
        <x:v>S2-DAM-02</x:v>
      </x:c>
      <x:c r="C18" s="103" t="str">
        <x:v>[S2-DAM-02] Initial LISA dan sensitivity neighbors</x:v>
      </x:c>
      <x:c r="D18" s="103" t="str">
        <x:v>Jalankan LISA awal dan bandingkan klasifikasi pada weights alternatif.</x:v>
      </x:c>
      <x:c r="E18" s="103" t="str">
        <x:v>Dame</x:v>
      </x:c>
      <x:c r="F18" s="103" t="str">
        <x:v>Stephen</x:v>
      </x:c>
      <x:c r="G18" s="103" t="str">
        <x:v>BACKLOG</x:v>
      </x:c>
      <x:c r="H18" s="103" t="str">
        <x:v>High</x:v>
      </x:c>
      <x:c r="I18" s="104" t="n">
        <x:v>46265</x:v>
      </x:c>
      <x:c r="J18" s="104" t="n">
        <x:v>46271</x:v>
      </x:c>
      <x:c r="K18" s="103" t="str">
        <x:v>Spatial</x:v>
      </x:c>
      <x:c r="L18" s="103" t="str">
        <x:v>tb-insight;real-data;s2;spatial</x:v>
      </x:c>
      <x:c r="M18" s="103" t="str">
        <x:v>S2-DAM-01</x:v>
      </x:c>
      <x:c r="N18" s="105" t="n">
        <x:v>13</x:v>
      </x:c>
      <x:c r="O18" s="103" t="str">
        <x:v>results/spatial/lisa_v0/</x:v>
      </x:c>
      <x:c r="P18" s="103" t="str">
        <x:v>Cluster label, p-value/permutation, multiple testing note, dan stability comparison tersedia.</x:v>
      </x:c>
      <x:c r="Q18" s="103" t="str"/>
      <x:c r="R18" s="103" t="str">
        <x:v>Medium</x:v>
      </x:c>
      <x:c r="S18" s="106" t="str">
        <x:v>Not Applicable</x:v>
      </x:c>
    </x:row>
    <x:row r="19">
      <x:c r="A19" s="102" t="str">
        <x:v>S2 — EDA &amp; Spatial Foundation</x:v>
      </x:c>
      <x:c r="B19" s="103" t="str">
        <x:v>S2-ERI-01</x:v>
      </x:c>
      <x:c r="C19" s="103" t="str">
        <x:v>[S2-ERI-01] High-fidelity research dashboard wireframes</x:v>
      </x:c>
      <x:c r="D19" s="103" t="str">
        <x:v>Rancang Overview, Trends, Hotspots, Province Detail, Methods, dan Sources.</x:v>
      </x:c>
      <x:c r="E19" s="103" t="str">
        <x:v>Erin</x:v>
      </x:c>
      <x:c r="F19" s="103" t="str">
        <x:v>Dame</x:v>
      </x:c>
      <x:c r="G19" s="103" t="str">
        <x:v>BACKLOG</x:v>
      </x:c>
      <x:c r="H19" s="103" t="str">
        <x:v>Urgent</x:v>
      </x:c>
      <x:c r="I19" s="104" t="n">
        <x:v>46265</x:v>
      </x:c>
      <x:c r="J19" s="104" t="n">
        <x:v>46271</x:v>
      </x:c>
      <x:c r="K19" s="103" t="str">
        <x:v>Product</x:v>
      </x:c>
      <x:c r="L19" s="103" t="str">
        <x:v>tb-insight;real-data;s2;product</x:v>
      </x:c>
      <x:c r="M19" s="103" t="str">
        <x:v>M1,S2-VEN-01</x:v>
      </x:c>
      <x:c r="N19" s="105" t="n">
        <x:v>20</x:v>
      </x:c>
      <x:c r="O19" s="103" t="str">
        <x:v>docs/design/wireframes-v1.pdf</x:v>
      </x:c>
      <x:c r="P19" s="103" t="str">
        <x:v>Semua state utama, responsive breakpoint, source note, provisional warning, dan empty state terlihat.</x:v>
      </x:c>
      <x:c r="Q19" s="103" t="str"/>
      <x:c r="R19" s="103" t="str">
        <x:v>Medium</x:v>
      </x:c>
      <x:c r="S19" s="106" t="str">
        <x:v>Not Applicable</x:v>
      </x:c>
    </x:row>
    <x:row r="20">
      <x:c r="A20" s="102" t="str">
        <x:v>S2 — EDA &amp; Spatial Foundation</x:v>
      </x:c>
      <x:c r="B20" s="103" t="str">
        <x:v>S2-ERI-02</x:v>
      </x:c>
      <x:c r="C20" s="103" t="str">
        <x:v>[S2-ERI-02] API–UI data contract</x:v>
      </x:c>
      <x:c r="D20" s="103" t="str">
        <x:v>Definisikan endpoint, schema, unit, filter, error, freshness, dan provenance yang dibutuhkan UI.</x:v>
      </x:c>
      <x:c r="E20" s="103" t="str">
        <x:v>Erin</x:v>
      </x:c>
      <x:c r="F20" s="103" t="str">
        <x:v>Venedict</x:v>
      </x:c>
      <x:c r="G20" s="103" t="str">
        <x:v>BACKLOG</x:v>
      </x:c>
      <x:c r="H20" s="103" t="str">
        <x:v>High</x:v>
      </x:c>
      <x:c r="I20" s="104" t="n">
        <x:v>46265</x:v>
      </x:c>
      <x:c r="J20" s="104" t="n">
        <x:v>46271</x:v>
      </x:c>
      <x:c r="K20" s="103" t="str">
        <x:v>Product</x:v>
      </x:c>
      <x:c r="L20" s="103" t="str">
        <x:v>tb-insight;real-data;s2;product</x:v>
      </x:c>
      <x:c r="M20" s="103" t="str">
        <x:v>S2-ERI-01</x:v>
      </x:c>
      <x:c r="N20" s="105" t="n">
        <x:v>10</x:v>
      </x:c>
      <x:c r="O20" s="103" t="str">
        <x:v>docs/design/api-ui-contract.md</x:v>
      </x:c>
      <x:c r="P20" s="103" t="str">
        <x:v>Tidak ada angka hardcoded; setiap widget memetakan field, unit, source, dan fallback.</x:v>
      </x:c>
      <x:c r="Q20" s="103" t="str"/>
      <x:c r="R20" s="103" t="str">
        <x:v>Medium</x:v>
      </x:c>
      <x:c r="S20" s="106" t="str">
        <x:v>Not Applicable</x:v>
      </x:c>
    </x:row>
    <x:row r="21">
      <x:c r="A21" s="102" t="str">
        <x:v>S2 — EDA &amp; Spatial Foundation</x:v>
      </x:c>
      <x:c r="B21" s="103" t="str">
        <x:v>S2-ADZ-01</x:v>
      </x:c>
      <x:c r="C21" s="103" t="str">
        <x:v>[S2-ADZ-01] Draft Data and Methods v0.5</x:v>
      </x:c>
      <x:c r="D21" s="103" t="str">
        <x:v>Tulis sumber, unit analisis, outcome, exposure, covariates, spatial method, model, dan ethics/data limits.</x:v>
      </x:c>
      <x:c r="E21" s="103" t="str">
        <x:v>Adzki</x:v>
      </x:c>
      <x:c r="F21" s="103" t="str">
        <x:v>Venedict</x:v>
      </x:c>
      <x:c r="G21" s="103" t="str">
        <x:v>BACKLOG</x:v>
      </x:c>
      <x:c r="H21" s="103" t="str">
        <x:v>Urgent</x:v>
      </x:c>
      <x:c r="I21" s="104" t="n">
        <x:v>46265</x:v>
      </x:c>
      <x:c r="J21" s="104" t="n">
        <x:v>46271</x:v>
      </x:c>
      <x:c r="K21" s="103" t="str">
        <x:v>Writing</x:v>
      </x:c>
      <x:c r="L21" s="103" t="str">
        <x:v>tb-insight;real-data;s2;writing</x:v>
      </x:c>
      <x:c r="M21" s="103" t="str">
        <x:v>M1,S1-ADZ-01</x:v>
      </x:c>
      <x:c r="N21" s="105" t="n">
        <x:v>16</x:v>
      </x:c>
      <x:c r="O21" s="103" t="str">
        <x:v>docs/writing/manuscript-methods-v0.5.md</x:v>
      </x:c>
      <x:c r="P21" s="103" t="str">
        <x:v>Setiap definisi cocok dengan codebook/analysis plan dan memiliki sitasi sumber.</x:v>
      </x:c>
      <x:c r="Q21" s="103" t="str"/>
      <x:c r="R21" s="103" t="str">
        <x:v>Medium</x:v>
      </x:c>
      <x:c r="S21" s="106" t="str">
        <x:v>Not Applicable</x:v>
      </x:c>
    </x:row>
    <x:row r="22">
      <x:c r="A22" s="102" t="str">
        <x:v>S2 — EDA &amp; Spatial Foundation</x:v>
      </x:c>
      <x:c r="B22" s="103" t="str">
        <x:v>S2-ADZ-02</x:v>
      </x:c>
      <x:c r="C22" s="103" t="str">
        <x:v>[S2-ADZ-02] Descriptive narrative dan table shells</x:v>
      </x:c>
      <x:c r="D22" s="103" t="str">
        <x:v>Siapkan Table 1/Figure callouts dan narasi faktual tanpa overclaim.</x:v>
      </x:c>
      <x:c r="E22" s="103" t="str">
        <x:v>Adzki</x:v>
      </x:c>
      <x:c r="F22" s="103" t="str">
        <x:v>Venedict</x:v>
      </x:c>
      <x:c r="G22" s="103" t="str">
        <x:v>BACKLOG</x:v>
      </x:c>
      <x:c r="H22" s="103" t="str">
        <x:v>High</x:v>
      </x:c>
      <x:c r="I22" s="104" t="n">
        <x:v>46265</x:v>
      </x:c>
      <x:c r="J22" s="104" t="n">
        <x:v>46271</x:v>
      </x:c>
      <x:c r="K22" s="103" t="str">
        <x:v>Writing</x:v>
      </x:c>
      <x:c r="L22" s="103" t="str">
        <x:v>tb-insight;real-data;s2;writing</x:v>
      </x:c>
      <x:c r="M22" s="103" t="str">
        <x:v>S2-VEN-01,S2-VEN-02</x:v>
      </x:c>
      <x:c r="N22" s="105" t="n">
        <x:v>10</x:v>
      </x:c>
      <x:c r="O22" s="103" t="str">
        <x:v>docs/writing/descriptive-results-v0.3.md</x:v>
      </x:c>
      <x:c r="P22" s="103" t="str">
        <x:v>Semua placeholder memakai output ID; footnote provisional dan unit lengkap.</x:v>
      </x:c>
      <x:c r="Q22" s="103" t="str"/>
      <x:c r="R22" s="103" t="str">
        <x:v>Medium</x:v>
      </x:c>
      <x:c r="S22" s="106" t="str">
        <x:v>Not Applicable</x:v>
      </x:c>
    </x:row>
    <x:row r="23">
      <x:c r="A23" s="102" t="str">
        <x:v>S2 — EDA &amp; Spatial Foundation</x:v>
      </x:c>
      <x:c r="B23" s="103" t="str">
        <x:v>M2</x:v>
      </x:c>
      <x:c r="C23" s="103" t="str">
        <x:v>[M2] M2 — Descriptive &amp; Spatial Foundation</x:v>
      </x:c>
      <x:c r="D23" s="103" t="str">
        <x:v>Review EDA, baseline PPML, spatial foundation, wireframes, dan Methods.</x:v>
      </x:c>
      <x:c r="E23" s="103" t="str">
        <x:v>Dame</x:v>
      </x:c>
      <x:c r="F23" s="103" t="str">
        <x:v>Seluruh Tim</x:v>
      </x:c>
      <x:c r="G23" s="103" t="str">
        <x:v>BACKLOG</x:v>
      </x:c>
      <x:c r="H23" s="103" t="str">
        <x:v>Urgent</x:v>
      </x:c>
      <x:c r="I23" s="104" t="n">
        <x:v>46265</x:v>
      </x:c>
      <x:c r="J23" s="104" t="n">
        <x:v>46271</x:v>
      </x:c>
      <x:c r="K23" s="103" t="str">
        <x:v>QA</x:v>
      </x:c>
      <x:c r="L23" s="103" t="str">
        <x:v>tb-insight;real-data;s2;qa</x:v>
      </x:c>
      <x:c r="M23" s="103" t="str">
        <x:v>S2-VEN-01,S2-VEN-02,S2-STE-02,S2-DAM-02,S2-ERI-02,S2-ADZ-02</x:v>
      </x:c>
      <x:c r="N23" s="105" t="n">
        <x:v>4</x:v>
      </x:c>
      <x:c r="O23" s="103" t="str">
        <x:v>docs/decisions/M2-signoff.md</x:v>
      </x:c>
      <x:c r="P23" s="103" t="str">
        <x:v>Angka, peta, narasi, dan widget merujuk output pipeline yang sama.</x:v>
      </x:c>
      <x:c r="Q23" s="103" t="str">
        <x:v>M2 Descriptive &amp; Spatial Foundation</x:v>
      </x:c>
      <x:c r="R23" s="103" t="str">
        <x:v>High</x:v>
      </x:c>
      <x:c r="S23" s="106" t="str">
        <x:v>Frozen</x:v>
      </x:c>
    </x:row>
    <x:row r="24">
      <x:c r="A24" s="102" t="str">
        <x:v>S3 — Climate, Social &amp; Prototype</x:v>
      </x:c>
      <x:c r="B24" s="103" t="str">
        <x:v>S3-VEN-01</x:v>
      </x:c>
      <x:c r="C24" s="103" t="str">
        <x:v>[S3-VEN-01] Climate anomalies, seasonality, dan lag features</x:v>
      </x:c>
      <x:c r="D24" s="103" t="str">
        <x:v>Bangun anomaly/z-score serta lag 0–3 untuk temperatur, kelembapan, dan hujan.</x:v>
      </x:c>
      <x:c r="E24" s="103" t="str">
        <x:v>Venedict</x:v>
      </x:c>
      <x:c r="F24" s="103" t="str">
        <x:v>Stephen</x:v>
      </x:c>
      <x:c r="G24" s="103" t="str">
        <x:v>BACKLOG</x:v>
      </x:c>
      <x:c r="H24" s="103" t="str">
        <x:v>Urgent</x:v>
      </x:c>
      <x:c r="I24" s="104" t="n">
        <x:v>46272</x:v>
      </x:c>
      <x:c r="J24" s="104" t="n">
        <x:v>46278</x:v>
      </x:c>
      <x:c r="K24" s="103" t="str">
        <x:v>Data</x:v>
      </x:c>
      <x:c r="L24" s="103" t="str">
        <x:v>tb-insight;real-data;s3;data</x:v>
      </x:c>
      <x:c r="M24" s="103" t="str">
        <x:v>M2</x:v>
      </x:c>
      <x:c r="N24" s="105" t="n">
        <x:v>18</x:v>
      </x:c>
      <x:c r="O24" s="103" t="str">
        <x:v>data/processed/features/climate_lags_v1.csv</x:v>
      </x:c>
      <x:c r="P24" s="103" t="str">
        <x:v>Tidak ada leakage; definisi baseline 1991–2020 tercatat; boundary month handling eksplisit.</x:v>
      </x:c>
      <x:c r="Q24" s="103" t="str"/>
      <x:c r="R24" s="103" t="str">
        <x:v>Medium</x:v>
      </x:c>
      <x:c r="S24" s="106" t="str">
        <x:v>Not Applicable</x:v>
      </x:c>
    </x:row>
    <x:row r="25">
      <x:c r="A25" s="102" t="str">
        <x:v>S3 — Climate, Social &amp; Prototype</x:v>
      </x:c>
      <x:c r="B25" s="103" t="str">
        <x:v>S3-VEN-02</x:v>
      </x:c>
      <x:c r="C25" s="103" t="str">
        <x:v>[S3-VEN-02] Feature matrix QA</x:v>
      </x:c>
      <x:c r="D25" s="103" t="str">
        <x:v>Audit completeness, range, correlations, lag alignment, dan social covariate reference periods.</x:v>
      </x:c>
      <x:c r="E25" s="103" t="str">
        <x:v>Venedict</x:v>
      </x:c>
      <x:c r="F25" s="103" t="str">
        <x:v>Dame</x:v>
      </x:c>
      <x:c r="G25" s="103" t="str">
        <x:v>BACKLOG</x:v>
      </x:c>
      <x:c r="H25" s="103" t="str">
        <x:v>High</x:v>
      </x:c>
      <x:c r="I25" s="104" t="n">
        <x:v>46272</x:v>
      </x:c>
      <x:c r="J25" s="104" t="n">
        <x:v>46278</x:v>
      </x:c>
      <x:c r="K25" s="103" t="str">
        <x:v>Data</x:v>
      </x:c>
      <x:c r="L25" s="103" t="str">
        <x:v>tb-insight;real-data;s3;data</x:v>
      </x:c>
      <x:c r="M25" s="103" t="str">
        <x:v>S3-VEN-01</x:v>
      </x:c>
      <x:c r="N25" s="105" t="n">
        <x:v>10</x:v>
      </x:c>
      <x:c r="O25" s="103" t="str">
        <x:v>results/qa/feature_matrix_qa.md</x:v>
      </x:c>
      <x:c r="P25" s="103" t="str">
        <x:v>QA lulus atau setiap exception terdokumentasi; annual BPS tidak dilabeli bulanan.</x:v>
      </x:c>
      <x:c r="Q25" s="103" t="str"/>
      <x:c r="R25" s="103" t="str">
        <x:v>Medium</x:v>
      </x:c>
      <x:c r="S25" s="106" t="str">
        <x:v>Not Applicable</x:v>
      </x:c>
    </x:row>
    <x:row r="26">
      <x:c r="A26" s="102" t="str">
        <x:v>S3 — Climate, Social &amp; Prototype</x:v>
      </x:c>
      <x:c r="B26" s="103" t="str">
        <x:v>S3-STE-01</x:v>
      </x:c>
      <x:c r="C26" s="103" t="str">
        <x:v>[S3-STE-01] PPML climate lag models</x:v>
      </x:c>
      <x:c r="D26" s="103" t="str">
        <x:v>Estimasi exposure dan lag sesuai analysis plan, satu family pada satu waktu.</x:v>
      </x:c>
      <x:c r="E26" s="103" t="str">
        <x:v>Stephen</x:v>
      </x:c>
      <x:c r="F26" s="103" t="str">
        <x:v>Venedict</x:v>
      </x:c>
      <x:c r="G26" s="103" t="str">
        <x:v>BACKLOG</x:v>
      </x:c>
      <x:c r="H26" s="103" t="str">
        <x:v>Urgent</x:v>
      </x:c>
      <x:c r="I26" s="104" t="n">
        <x:v>46272</x:v>
      </x:c>
      <x:c r="J26" s="104" t="n">
        <x:v>46278</x:v>
      </x:c>
      <x:c r="K26" s="103" t="str">
        <x:v>Modeling</x:v>
      </x:c>
      <x:c r="L26" s="103" t="str">
        <x:v>tb-insight;real-data;s3;modeling</x:v>
      </x:c>
      <x:c r="M26" s="103" t="str">
        <x:v>S3-VEN-02</x:v>
      </x:c>
      <x:c r="N26" s="105" t="n">
        <x:v>16</x:v>
      </x:c>
      <x:c r="O26" s="103" t="str">
        <x:v>results/models/climate_lags/</x:v>
      </x:c>
      <x:c r="P26" s="103" t="str">
        <x:v>Seluruh model pre-specified dijalankan; coefficient/CI/convergence tersedia; selection rule terdokumentasi.</x:v>
      </x:c>
      <x:c r="Q26" s="103" t="str"/>
      <x:c r="R26" s="103" t="str">
        <x:v>Medium</x:v>
      </x:c>
      <x:c r="S26" s="106" t="str">
        <x:v>Not Applicable</x:v>
      </x:c>
    </x:row>
    <x:row r="27">
      <x:c r="A27" s="102" t="str">
        <x:v>S3 — Climate, Social &amp; Prototype</x:v>
      </x:c>
      <x:c r="B27" s="103" t="str">
        <x:v>S3-STE-02</x:v>
      </x:c>
      <x:c r="C27" s="103" t="str">
        <x:v>[S3-STE-02] Social vulnerability interactions</x:v>
      </x:c>
      <x:c r="D27" s="103" t="str">
        <x:v>Uji interaksi iklim dengan kemiskinan, kepadatan, dan sanitasi satu per satu.</x:v>
      </x:c>
      <x:c r="E27" s="103" t="str">
        <x:v>Stephen</x:v>
      </x:c>
      <x:c r="F27" s="103" t="str">
        <x:v>Adzki</x:v>
      </x:c>
      <x:c r="G27" s="103" t="str">
        <x:v>BACKLOG</x:v>
      </x:c>
      <x:c r="H27" s="103" t="str">
        <x:v>High</x:v>
      </x:c>
      <x:c r="I27" s="104" t="n">
        <x:v>46272</x:v>
      </x:c>
      <x:c r="J27" s="104" t="n">
        <x:v>46278</x:v>
      </x:c>
      <x:c r="K27" s="103" t="str">
        <x:v>Modeling</x:v>
      </x:c>
      <x:c r="L27" s="103" t="str">
        <x:v>tb-insight;real-data;s3;modeling</x:v>
      </x:c>
      <x:c r="M27" s="103" t="str">
        <x:v>S3-STE-01</x:v>
      </x:c>
      <x:c r="N27" s="105" t="n">
        <x:v>14</x:v>
      </x:c>
      <x:c r="O27" s="103" t="str">
        <x:v>results/models/social_interactions/</x:v>
      </x:c>
      <x:c r="P27" s="103" t="str">
        <x:v>Tidak ada kitchen-sink model; multiplicity dan uncertainty dibahas; marginal contrast tersedia.</x:v>
      </x:c>
      <x:c r="Q27" s="103" t="str"/>
      <x:c r="R27" s="103" t="str">
        <x:v>Medium</x:v>
      </x:c>
      <x:c r="S27" s="106" t="str">
        <x:v>Not Applicable</x:v>
      </x:c>
    </x:row>
    <x:row r="28">
      <x:c r="A28" s="102" t="str">
        <x:v>S3 — Climate, Social &amp; Prototype</x:v>
      </x:c>
      <x:c r="B28" s="103" t="str">
        <x:v>S3-DAM-01</x:v>
      </x:c>
      <x:c r="C28" s="103" t="str">
        <x:v>[S3-DAM-01] Hotspot persistence analysis</x:v>
      </x:c>
      <x:c r="D28" s="103" t="str">
        <x:v>Identifikasi hotspot/coldspot persisten antarbulan dan stabilitas klasifikasi.</x:v>
      </x:c>
      <x:c r="E28" s="103" t="str">
        <x:v>Dame</x:v>
      </x:c>
      <x:c r="F28" s="103" t="str">
        <x:v>Stephen</x:v>
      </x:c>
      <x:c r="G28" s="103" t="str">
        <x:v>BACKLOG</x:v>
      </x:c>
      <x:c r="H28" s="103" t="str">
        <x:v>Urgent</x:v>
      </x:c>
      <x:c r="I28" s="104" t="n">
        <x:v>46272</x:v>
      </x:c>
      <x:c r="J28" s="104" t="n">
        <x:v>46278</x:v>
      </x:c>
      <x:c r="K28" s="103" t="str">
        <x:v>Spatial</x:v>
      </x:c>
      <x:c r="L28" s="103" t="str">
        <x:v>tb-insight;real-data;s3;spatial</x:v>
      </x:c>
      <x:c r="M28" s="103" t="str">
        <x:v>M2</x:v>
      </x:c>
      <x:c r="N28" s="105" t="n">
        <x:v>18</x:v>
      </x:c>
      <x:c r="O28" s="103" t="str">
        <x:v>results/spatial/hotspot_persistence/</x:v>
      </x:c>
      <x:c r="P28" s="103" t="str">
        <x:v>Definisi persistence pre-specified; peta tidak menyembunyikan non-significant/insufficient observations.</x:v>
      </x:c>
      <x:c r="Q28" s="103" t="str"/>
      <x:c r="R28" s="103" t="str">
        <x:v>Medium</x:v>
      </x:c>
      <x:c r="S28" s="106" t="str">
        <x:v>Not Applicable</x:v>
      </x:c>
    </x:row>
    <x:row r="29">
      <x:c r="A29" s="102" t="str">
        <x:v>S3 — Climate, Social &amp; Prototype</x:v>
      </x:c>
      <x:c r="B29" s="103" t="str">
        <x:v>S3-DAM-02</x:v>
      </x:c>
      <x:c r="C29" s="103" t="str">
        <x:v>[S3-DAM-02] Climate and vulnerability map exploration</x:v>
      </x:c>
      <x:c r="D29" s="103" t="str">
        <x:v>Eksplorasi peta small multiples yang menghubungkan anomali iklim, treatment initiation, dan kerentanan.</x:v>
      </x:c>
      <x:c r="E29" s="103" t="str">
        <x:v>Dame</x:v>
      </x:c>
      <x:c r="F29" s="103" t="str">
        <x:v>Erin</x:v>
      </x:c>
      <x:c r="G29" s="103" t="str">
        <x:v>BACKLOG</x:v>
      </x:c>
      <x:c r="H29" s="103" t="str">
        <x:v>High</x:v>
      </x:c>
      <x:c r="I29" s="104" t="n">
        <x:v>46272</x:v>
      </x:c>
      <x:c r="J29" s="104" t="n">
        <x:v>46278</x:v>
      </x:c>
      <x:c r="K29" s="103" t="str">
        <x:v>Spatial</x:v>
      </x:c>
      <x:c r="L29" s="103" t="str">
        <x:v>tb-insight;real-data;s3;spatial</x:v>
      </x:c>
      <x:c r="M29" s="103" t="str">
        <x:v>S3-VEN-02,S3-DAM-01</x:v>
      </x:c>
      <x:c r="N29" s="105" t="n">
        <x:v>12</x:v>
      </x:c>
      <x:c r="O29" s="103" t="str">
        <x:v>results/spatial/exploratory_maps/</x:v>
      </x:c>
      <x:c r="P29" s="103" t="str">
        <x:v>Skala/legend konsisten dan tidak mengimplikasikan kausalitas; kandidat peta utama ditandai.</x:v>
      </x:c>
      <x:c r="Q29" s="103" t="str"/>
      <x:c r="R29" s="103" t="str">
        <x:v>Medium</x:v>
      </x:c>
      <x:c r="S29" s="106" t="str">
        <x:v>Not Applicable</x:v>
      </x:c>
    </x:row>
    <x:row r="30">
      <x:c r="A30" s="102" t="str">
        <x:v>S3 — Climate, Social &amp; Prototype</x:v>
      </x:c>
      <x:c r="B30" s="103" t="str">
        <x:v>S3-ERI-01</x:v>
      </x:c>
      <x:c r="C30" s="103" t="str">
        <x:v>[S3-ERI-01] Frontend alpha — trends and maps</x:v>
      </x:c>
      <x:c r="D30" s="103" t="str">
        <x:v>Implementasikan komponen tren, peta, filter provinsi/periode, tooltip, legend, dan loading state.</x:v>
      </x:c>
      <x:c r="E30" s="103" t="str">
        <x:v>Erin</x:v>
      </x:c>
      <x:c r="F30" s="103" t="str">
        <x:v>Dame</x:v>
      </x:c>
      <x:c r="G30" s="103" t="str">
        <x:v>BACKLOG</x:v>
      </x:c>
      <x:c r="H30" s="103" t="str">
        <x:v>Urgent</x:v>
      </x:c>
      <x:c r="I30" s="104" t="n">
        <x:v>46272</x:v>
      </x:c>
      <x:c r="J30" s="104" t="n">
        <x:v>46278</x:v>
      </x:c>
      <x:c r="K30" s="103" t="str">
        <x:v>Product</x:v>
      </x:c>
      <x:c r="L30" s="103" t="str">
        <x:v>tb-insight;real-data;s3;product</x:v>
      </x:c>
      <x:c r="M30" s="103" t="str">
        <x:v>S2-ERI-02,S3-DAM-01</x:v>
      </x:c>
      <x:c r="N30" s="105" t="n">
        <x:v>22</x:v>
      </x:c>
      <x:c r="O30" s="103" t="str">
        <x:v>frontend/</x:v>
      </x:c>
      <x:c r="P30" s="103" t="str">
        <x:v>Alpha membaca API/mock contract yang sama; tidak memakai dataset synthetic; state utama berfungsi.</x:v>
      </x:c>
      <x:c r="Q30" s="103" t="str"/>
      <x:c r="R30" s="103" t="str">
        <x:v>Medium</x:v>
      </x:c>
      <x:c r="S30" s="106" t="str">
        <x:v>Not Applicable</x:v>
      </x:c>
    </x:row>
    <x:row r="31">
      <x:c r="A31" s="102" t="str">
        <x:v>S3 — Climate, Social &amp; Prototype</x:v>
      </x:c>
      <x:c r="B31" s="103" t="str">
        <x:v>S3-ERI-02</x:v>
      </x:c>
      <x:c r="C31" s="103" t="str">
        <x:v>[S3-ERI-02] Methods, provenance, dan limitation pages</x:v>
      </x:c>
      <x:c r="D31" s="103" t="str">
        <x:v>Implementasikan halaman sumber/metode serta context note pada visual utama.</x:v>
      </x:c>
      <x:c r="E31" s="103" t="str">
        <x:v>Erin</x:v>
      </x:c>
      <x:c r="F31" s="103" t="str">
        <x:v>Adzki</x:v>
      </x:c>
      <x:c r="G31" s="103" t="str">
        <x:v>BACKLOG</x:v>
      </x:c>
      <x:c r="H31" s="103" t="str">
        <x:v>High</x:v>
      </x:c>
      <x:c r="I31" s="104" t="n">
        <x:v>46272</x:v>
      </x:c>
      <x:c r="J31" s="104" t="n">
        <x:v>46278</x:v>
      </x:c>
      <x:c r="K31" s="103" t="str">
        <x:v>Product</x:v>
      </x:c>
      <x:c r="L31" s="103" t="str">
        <x:v>tb-insight;real-data;s3;product</x:v>
      </x:c>
      <x:c r="M31" s="103" t="str">
        <x:v>S2-ERI-02,S2-ADZ-01</x:v>
      </x:c>
      <x:c r="N31" s="105" t="n">
        <x:v>12</x:v>
      </x:c>
      <x:c r="O31" s="103" t="str">
        <x:v>frontend/</x:v>
      </x:c>
      <x:c r="P31" s="103" t="str">
        <x:v>Source, date accessed, unit, outcome definition, provisional warning, dan limitation dapat ditemukan pengguna.</x:v>
      </x:c>
      <x:c r="Q31" s="103" t="str"/>
      <x:c r="R31" s="103" t="str">
        <x:v>Medium</x:v>
      </x:c>
      <x:c r="S31" s="106" t="str">
        <x:v>Not Applicable</x:v>
      </x:c>
    </x:row>
    <x:row r="32">
      <x:c r="A32" s="102" t="str">
        <x:v>S3 — Climate, Social &amp; Prototype</x:v>
      </x:c>
      <x:c r="B32" s="103" t="str">
        <x:v>S3-ADZ-01</x:v>
      </x:c>
      <x:c r="C32" s="103" t="str">
        <x:v>[S3-ADZ-01] Methods climate and spatial revision</x:v>
      </x:c>
      <x:c r="D32" s="103" t="str">
        <x:v>Perbarui Methods berdasarkan feature engineering dan spatial analysis aktual.</x:v>
      </x:c>
      <x:c r="E32" s="103" t="str">
        <x:v>Adzki</x:v>
      </x:c>
      <x:c r="F32" s="103" t="str">
        <x:v>Dame</x:v>
      </x:c>
      <x:c r="G32" s="103" t="str">
        <x:v>BACKLOG</x:v>
      </x:c>
      <x:c r="H32" s="103" t="str">
        <x:v>High</x:v>
      </x:c>
      <x:c r="I32" s="104" t="n">
        <x:v>46272</x:v>
      </x:c>
      <x:c r="J32" s="104" t="n">
        <x:v>46278</x:v>
      </x:c>
      <x:c r="K32" s="103" t="str">
        <x:v>Writing</x:v>
      </x:c>
      <x:c r="L32" s="103" t="str">
        <x:v>tb-insight;real-data;s3;writing</x:v>
      </x:c>
      <x:c r="M32" s="103" t="str">
        <x:v>S3-VEN-02,S3-DAM-01</x:v>
      </x:c>
      <x:c r="N32" s="105" t="n">
        <x:v>12</x:v>
      </x:c>
      <x:c r="O32" s="103" t="str">
        <x:v>docs/writing/manuscript-methods-v0.8.md</x:v>
      </x:c>
      <x:c r="P32" s="103" t="str">
        <x:v>Parameter lag, baseline iklim, weights, permutations, dan multiple testing ditulis tepat.</x:v>
      </x:c>
      <x:c r="Q32" s="103" t="str"/>
      <x:c r="R32" s="103" t="str">
        <x:v>Medium</x:v>
      </x:c>
      <x:c r="S32" s="106" t="str">
        <x:v>Not Applicable</x:v>
      </x:c>
    </x:row>
    <x:row r="33">
      <x:c r="A33" s="102" t="str">
        <x:v>S3 — Climate, Social &amp; Prototype</x:v>
      </x:c>
      <x:c r="B33" s="103" t="str">
        <x:v>S3-ADZ-02</x:v>
      </x:c>
      <x:c r="C33" s="103" t="str">
        <x:v>[S3-ADZ-02] Results shell dan novelty claim audit</x:v>
      </x:c>
      <x:c r="D33" s="103" t="str">
        <x:v>Bangun Results shell serta audit apakah novelty claim benar-benar didukung evidence matrix.</x:v>
      </x:c>
      <x:c r="E33" s="103" t="str">
        <x:v>Adzki</x:v>
      </x:c>
      <x:c r="F33" s="103" t="str">
        <x:v>Stephen</x:v>
      </x:c>
      <x:c r="G33" s="103" t="str">
        <x:v>BACKLOG</x:v>
      </x:c>
      <x:c r="H33" s="103" t="str">
        <x:v>High</x:v>
      </x:c>
      <x:c r="I33" s="104" t="n">
        <x:v>46272</x:v>
      </x:c>
      <x:c r="J33" s="104" t="n">
        <x:v>46278</x:v>
      </x:c>
      <x:c r="K33" s="103" t="str">
        <x:v>Writing</x:v>
      </x:c>
      <x:c r="L33" s="103" t="str">
        <x:v>tb-insight;real-data;s3;writing</x:v>
      </x:c>
      <x:c r="M33" s="103" t="str">
        <x:v>S3-STE-02,S3-ADZ-01</x:v>
      </x:c>
      <x:c r="N33" s="105" t="n">
        <x:v>12</x:v>
      </x:c>
      <x:c r="O33" s="103" t="str">
        <x:v>docs/writing/results-shell-v0.5.md</x:v>
      </x:c>
      <x:c r="P33" s="103" t="str">
        <x:v>Setiap klaim memiliki output ID dan referensi; novelty tidak dinyatakan absolut tanpa bukti.</x:v>
      </x:c>
      <x:c r="Q33" s="103" t="str"/>
      <x:c r="R33" s="103" t="str">
        <x:v>Medium</x:v>
      </x:c>
      <x:c r="S33" s="106" t="str">
        <x:v>Not Applicable</x:v>
      </x:c>
    </x:row>
    <x:row r="34">
      <x:c r="A34" s="102" t="str">
        <x:v>S3 — Climate, Social &amp; Prototype</x:v>
      </x:c>
      <x:c r="B34" s="103" t="str">
        <x:v>M3</x:v>
      </x:c>
      <x:c r="C34" s="103" t="str">
        <x:v>[M3] M3 — Analysis Alpha</x:v>
      </x:c>
      <x:c r="D34" s="103" t="str">
        <x:v>Pilih kandidat model/peta berdasarkan protocol, robustness, dan interpretability.</x:v>
      </x:c>
      <x:c r="E34" s="103" t="str">
        <x:v>Stephen</x:v>
      </x:c>
      <x:c r="F34" s="103" t="str">
        <x:v>Seluruh Tim</x:v>
      </x:c>
      <x:c r="G34" s="103" t="str">
        <x:v>BACKLOG</x:v>
      </x:c>
      <x:c r="H34" s="103" t="str">
        <x:v>Urgent</x:v>
      </x:c>
      <x:c r="I34" s="104" t="n">
        <x:v>46272</x:v>
      </x:c>
      <x:c r="J34" s="104" t="n">
        <x:v>46278</x:v>
      </x:c>
      <x:c r="K34" s="103" t="str">
        <x:v>QA</x:v>
      </x:c>
      <x:c r="L34" s="103" t="str">
        <x:v>tb-insight;real-data;s3;qa</x:v>
      </x:c>
      <x:c r="M34" s="103" t="str">
        <x:v>S3-STE-02,S3-DAM-02,S3-ERI-02,S3-ADZ-02</x:v>
      </x:c>
      <x:c r="N34" s="105" t="n">
        <x:v>5</x:v>
      </x:c>
      <x:c r="O34" s="103" t="str">
        <x:v>docs/decisions/M3-signoff.md</x:v>
      </x:c>
      <x:c r="P34" s="103" t="str">
        <x:v>Model kandidat tidak dipilih hanya berdasarkan p-value; open sensitivity ditetapkan.</x:v>
      </x:c>
      <x:c r="Q34" s="103" t="str">
        <x:v>M3 Analysis Alpha</x:v>
      </x:c>
      <x:c r="R34" s="103" t="str">
        <x:v>High</x:v>
      </x:c>
      <x:c r="S34" s="106" t="str">
        <x:v>Provisional</x:v>
      </x:c>
    </x:row>
    <x:row r="35">
      <x:c r="A35" s="102" t="str">
        <x:v>S4 — Sensitivity &amp; Integration</x:v>
      </x:c>
      <x:c r="B35" s="103" t="str">
        <x:v>S4-VEN-01</x:v>
      </x:c>
      <x:c r="C35" s="103" t="str">
        <x:v>[S4-VEN-01] Data maturity, disaster, outlier, denominator sensitivity</x:v>
      </x:c>
      <x:c r="D35" s="103" t="str">
        <x:v>Jalankan sensitivity terkait provisional 2025, bencana, influential observations, dan denominator.</x:v>
      </x:c>
      <x:c r="E35" s="103" t="str">
        <x:v>Venedict</x:v>
      </x:c>
      <x:c r="F35" s="103" t="str">
        <x:v>Stephen</x:v>
      </x:c>
      <x:c r="G35" s="103" t="str">
        <x:v>BACKLOG</x:v>
      </x:c>
      <x:c r="H35" s="103" t="str">
        <x:v>Urgent</x:v>
      </x:c>
      <x:c r="I35" s="104" t="n">
        <x:v>46279</x:v>
      </x:c>
      <x:c r="J35" s="104" t="n">
        <x:v>46285</x:v>
      </x:c>
      <x:c r="K35" s="103" t="str">
        <x:v>Data</x:v>
      </x:c>
      <x:c r="L35" s="103" t="str">
        <x:v>tb-insight;real-data;s4;data</x:v>
      </x:c>
      <x:c r="M35" s="103" t="str">
        <x:v>M3</x:v>
      </x:c>
      <x:c r="N35" s="105" t="n">
        <x:v>20</x:v>
      </x:c>
      <x:c r="O35" s="103" t="str">
        <x:v>results/sensitivity/data/</x:v>
      </x:c>
      <x:c r="P35" s="103" t="str">
        <x:v>Setiap sensitivity memiliki rationale, sample change, output, dan comparison terhadap primary.</x:v>
      </x:c>
      <x:c r="Q35" s="103" t="str"/>
      <x:c r="R35" s="103" t="str">
        <x:v>Medium</x:v>
      </x:c>
      <x:c r="S35" s="106" t="str">
        <x:v>Not Applicable</x:v>
      </x:c>
    </x:row>
    <x:row r="36">
      <x:c r="A36" s="102" t="str">
        <x:v>S4 — Sensitivity &amp; Integration</x:v>
      </x:c>
      <x:c r="B36" s="103" t="str">
        <x:v>S4-VEN-02</x:v>
      </x:c>
      <x:c r="C36" s="103" t="str">
        <x:v>[S4-VEN-02] Analysis output manifest</x:v>
      </x:c>
      <x:c r="D36" s="103" t="str">
        <x:v>Buat manifest ID untuk seluruh tabel, figure, map, dataset, script, dan source version.</x:v>
      </x:c>
      <x:c r="E36" s="103" t="str">
        <x:v>Venedict</x:v>
      </x:c>
      <x:c r="F36" s="103" t="str">
        <x:v>Erin</x:v>
      </x:c>
      <x:c r="G36" s="103" t="str">
        <x:v>BACKLOG</x:v>
      </x:c>
      <x:c r="H36" s="103" t="str">
        <x:v>High</x:v>
      </x:c>
      <x:c r="I36" s="104" t="n">
        <x:v>46279</x:v>
      </x:c>
      <x:c r="J36" s="104" t="n">
        <x:v>46285</x:v>
      </x:c>
      <x:c r="K36" s="103" t="str">
        <x:v>QA</x:v>
      </x:c>
      <x:c r="L36" s="103" t="str">
        <x:v>tb-insight;real-data;s4;qa</x:v>
      </x:c>
      <x:c r="M36" s="103" t="str">
        <x:v>S4-VEN-01</x:v>
      </x:c>
      <x:c r="N36" s="105" t="n">
        <x:v>8</x:v>
      </x:c>
      <x:c r="O36" s="103" t="str">
        <x:v>results/output_manifest.csv</x:v>
      </x:c>
      <x:c r="P36" s="103" t="str">
        <x:v>Setiap output yang tampil di dashboard/manuskrip memiliki path, version, timestamp, dan owner.</x:v>
      </x:c>
      <x:c r="Q36" s="103" t="str"/>
      <x:c r="R36" s="103" t="str">
        <x:v>Medium</x:v>
      </x:c>
      <x:c r="S36" s="106" t="str">
        <x:v>Not Applicable</x:v>
      </x:c>
    </x:row>
    <x:row r="37">
      <x:c r="A37" s="102" t="str">
        <x:v>S4 — Sensitivity &amp; Integration</x:v>
      </x:c>
      <x:c r="B37" s="103" t="str">
        <x:v>S4-STE-01</x:v>
      </x:c>
      <x:c r="C37" s="103" t="str">
        <x:v>[S4-STE-01] Model sensitivity dan uncertainty synthesis</x:v>
      </x:c>
      <x:c r="D37" s="103" t="str">
        <x:v>Jalankan alternative specifications, exclusion checks, dan ringkas kestabilan estimate.</x:v>
      </x:c>
      <x:c r="E37" s="103" t="str">
        <x:v>Stephen</x:v>
      </x:c>
      <x:c r="F37" s="103" t="str">
        <x:v>Venedict</x:v>
      </x:c>
      <x:c r="G37" s="103" t="str">
        <x:v>BACKLOG</x:v>
      </x:c>
      <x:c r="H37" s="103" t="str">
        <x:v>Urgent</x:v>
      </x:c>
      <x:c r="I37" s="104" t="n">
        <x:v>46279</x:v>
      </x:c>
      <x:c r="J37" s="104" t="n">
        <x:v>46285</x:v>
      </x:c>
      <x:c r="K37" s="103" t="str">
        <x:v>Modeling</x:v>
      </x:c>
      <x:c r="L37" s="103" t="str">
        <x:v>tb-insight;real-data;s4;modeling</x:v>
      </x:c>
      <x:c r="M37" s="103" t="str">
        <x:v>S4-VEN-01</x:v>
      </x:c>
      <x:c r="N37" s="105" t="n">
        <x:v>17</x:v>
      </x:c>
      <x:c r="O37" s="103" t="str">
        <x:v>results/sensitivity/models/</x:v>
      </x:c>
      <x:c r="P37" s="103" t="str">
        <x:v>Primary estimate dibandingkan secara konsisten; disagreement dilaporkan, bukan disembunyikan.</x:v>
      </x:c>
      <x:c r="Q37" s="103" t="str"/>
      <x:c r="R37" s="103" t="str">
        <x:v>Medium</x:v>
      </x:c>
      <x:c r="S37" s="106" t="str">
        <x:v>Not Applicable</x:v>
      </x:c>
    </x:row>
    <x:row r="38">
      <x:c r="A38" s="102" t="str">
        <x:v>S4 — Sensitivity &amp; Integration</x:v>
      </x:c>
      <x:c r="B38" s="103" t="str">
        <x:v>S4-STE-02</x:v>
      </x:c>
      <x:c r="C38" s="103" t="str">
        <x:v>[S4-STE-02] Residual spatial autocorrelation</x:v>
      </x:c>
      <x:c r="D38" s="103" t="str">
        <x:v>Uji autokorelasi spasial residual model utama dan tentukan implikasinya.</x:v>
      </x:c>
      <x:c r="E38" s="103" t="str">
        <x:v>Stephen</x:v>
      </x:c>
      <x:c r="F38" s="103" t="str">
        <x:v>Dame</x:v>
      </x:c>
      <x:c r="G38" s="103" t="str">
        <x:v>BACKLOG</x:v>
      </x:c>
      <x:c r="H38" s="103" t="str">
        <x:v>Urgent</x:v>
      </x:c>
      <x:c r="I38" s="104" t="n">
        <x:v>46279</x:v>
      </x:c>
      <x:c r="J38" s="104" t="n">
        <x:v>46285</x:v>
      </x:c>
      <x:c r="K38" s="103" t="str">
        <x:v>Modeling</x:v>
      </x:c>
      <x:c r="L38" s="103" t="str">
        <x:v>tb-insight;real-data;s4;modeling</x:v>
      </x:c>
      <x:c r="M38" s="103" t="str">
        <x:v>S4-STE-01,S3-DAM-01</x:v>
      </x:c>
      <x:c r="N38" s="105" t="n">
        <x:v>10</x:v>
      </x:c>
      <x:c r="O38" s="103" t="str">
        <x:v>results/spatial/residual_moran/</x:v>
      </x:c>
      <x:c r="P38" s="103" t="str">
        <x:v>Residual Moran dengan weights primer/alternatif tersedia dan limitation/model decision tercatat.</x:v>
      </x:c>
      <x:c r="Q38" s="103" t="str"/>
      <x:c r="R38" s="103" t="str">
        <x:v>Medium</x:v>
      </x:c>
      <x:c r="S38" s="106" t="str">
        <x:v>Not Applicable</x:v>
      </x:c>
    </x:row>
    <x:row r="39">
      <x:c r="A39" s="102" t="str">
        <x:v>S4 — Sensitivity &amp; Integration</x:v>
      </x:c>
      <x:c r="B39" s="103" t="str">
        <x:v>S4-DAM-01</x:v>
      </x:c>
      <x:c r="C39" s="103" t="str">
        <x:v>[S4-DAM-01] Island and Papua spatial sensitivity</x:v>
      </x:c>
      <x:c r="D39" s="103" t="str">
        <x:v>Uji KNN/distance/contiguity serta pengaruh konfigurasi wilayah kepulauan/Papua.</x:v>
      </x:c>
      <x:c r="E39" s="103" t="str">
        <x:v>Dame</x:v>
      </x:c>
      <x:c r="F39" s="103" t="str">
        <x:v>Stephen</x:v>
      </x:c>
      <x:c r="G39" s="103" t="str">
        <x:v>BACKLOG</x:v>
      </x:c>
      <x:c r="H39" s="103" t="str">
        <x:v>Urgent</x:v>
      </x:c>
      <x:c r="I39" s="104" t="n">
        <x:v>46279</x:v>
      </x:c>
      <x:c r="J39" s="104" t="n">
        <x:v>46285</x:v>
      </x:c>
      <x:c r="K39" s="103" t="str">
        <x:v>Spatial</x:v>
      </x:c>
      <x:c r="L39" s="103" t="str">
        <x:v>tb-insight;real-data;s4;spatial</x:v>
      </x:c>
      <x:c r="M39" s="103" t="str">
        <x:v>S4-STE-02</x:v>
      </x:c>
      <x:c r="N39" s="105" t="n">
        <x:v>18</x:v>
      </x:c>
      <x:c r="O39" s="103" t="str">
        <x:v>results/spatial/weights_sensitivity/</x:v>
      </x:c>
      <x:c r="P39" s="103" t="str">
        <x:v>Cluster yang tidak stabil ditandai; neighbor graph dan parameter tersedia.</x:v>
      </x:c>
      <x:c r="Q39" s="103" t="str"/>
      <x:c r="R39" s="103" t="str">
        <x:v>Medium</x:v>
      </x:c>
      <x:c r="S39" s="106" t="str">
        <x:v>Not Applicable</x:v>
      </x:c>
    </x:row>
    <x:row r="40">
      <x:c r="A40" s="102" t="str">
        <x:v>S4 — Sensitivity &amp; Integration</x:v>
      </x:c>
      <x:c r="B40" s="103" t="str">
        <x:v>S4-DAM-02</x:v>
      </x:c>
      <x:c r="C40" s="103" t="str">
        <x:v>[S4-DAM-02] Final spatial ID and geometry QA</x:v>
      </x:c>
      <x:c r="D40" s="103" t="str">
        <x:v>Verifikasi join, geometry validity, projection, topology, legends, dan missing map records.</x:v>
      </x:c>
      <x:c r="E40" s="103" t="str">
        <x:v>Dame</x:v>
      </x:c>
      <x:c r="F40" s="103" t="str">
        <x:v>Venedict</x:v>
      </x:c>
      <x:c r="G40" s="103" t="str">
        <x:v>BACKLOG</x:v>
      </x:c>
      <x:c r="H40" s="103" t="str">
        <x:v>High</x:v>
      </x:c>
      <x:c r="I40" s="104" t="n">
        <x:v>46279</x:v>
      </x:c>
      <x:c r="J40" s="104" t="n">
        <x:v>46285</x:v>
      </x:c>
      <x:c r="K40" s="103" t="str">
        <x:v>Spatial</x:v>
      </x:c>
      <x:c r="L40" s="103" t="str">
        <x:v>tb-insight;real-data;s4;spatial</x:v>
      </x:c>
      <x:c r="M40" s="103" t="str">
        <x:v>S4-DAM-01</x:v>
      </x:c>
      <x:c r="N40" s="105" t="n">
        <x:v>8</x:v>
      </x:c>
      <x:c r="O40" s="103" t="str">
        <x:v>results/qa/spatial_final_qa.md</x:v>
      </x:c>
      <x:c r="P40" s="103" t="str">
        <x:v>38 provinsi tampil tepat; missing geometry/join = 0; QA checklist ditandatangani.</x:v>
      </x:c>
      <x:c r="Q40" s="103" t="str"/>
      <x:c r="R40" s="103" t="str">
        <x:v>Medium</x:v>
      </x:c>
      <x:c r="S40" s="106" t="str">
        <x:v>Not Applicable</x:v>
      </x:c>
    </x:row>
    <x:row r="41">
      <x:c r="A41" s="102" t="str">
        <x:v>S4 — Sensitivity &amp; Integration</x:v>
      </x:c>
      <x:c r="B41" s="103" t="str">
        <x:v>S4-ERI-01</x:v>
      </x:c>
      <x:c r="C41" s="103" t="str">
        <x:v>[S4-ERI-01] Backend–frontend real-data integration</x:v>
      </x:c>
      <x:c r="D41" s="103" t="str">
        <x:v>Hubungkan semua halaman inti dengan endpoint real-data dan output manifest.</x:v>
      </x:c>
      <x:c r="E41" s="103" t="str">
        <x:v>Erin</x:v>
      </x:c>
      <x:c r="F41" s="103" t="str">
        <x:v>Venedict</x:v>
      </x:c>
      <x:c r="G41" s="103" t="str">
        <x:v>BACKLOG</x:v>
      </x:c>
      <x:c r="H41" s="103" t="str">
        <x:v>Urgent</x:v>
      </x:c>
      <x:c r="I41" s="104" t="n">
        <x:v>46279</x:v>
      </x:c>
      <x:c r="J41" s="104" t="n">
        <x:v>46285</x:v>
      </x:c>
      <x:c r="K41" s="103" t="str">
        <x:v>Product</x:v>
      </x:c>
      <x:c r="L41" s="103" t="str">
        <x:v>tb-insight;real-data;s4;product</x:v>
      </x:c>
      <x:c r="M41" s="103" t="str">
        <x:v>S4-VEN-02,S4-DAM-02</x:v>
      </x:c>
      <x:c r="N41" s="105" t="n">
        <x:v>22</x:v>
      </x:c>
      <x:c r="O41" s="103" t="str">
        <x:v>frontend/</x:v>
      </x:c>
      <x:c r="P41" s="103" t="str">
        <x:v>Tidak ada angka hardcoded; filters konsisten; provenance mengacu output manifest.</x:v>
      </x:c>
      <x:c r="Q41" s="103" t="str"/>
      <x:c r="R41" s="103" t="str">
        <x:v>Medium</x:v>
      </x:c>
      <x:c r="S41" s="106" t="str">
        <x:v>Not Applicable</x:v>
      </x:c>
    </x:row>
    <x:row r="42">
      <x:c r="A42" s="102" t="str">
        <x:v>S4 — Sensitivity &amp; Integration</x:v>
      </x:c>
      <x:c r="B42" s="103" t="str">
        <x:v>S4-ERI-02</x:v>
      </x:c>
      <x:c r="C42" s="103" t="str">
        <x:v>[S4-ERI-02] Accessibility, error, empty, dan download states</x:v>
      </x:c>
      <x:c r="D42" s="103" t="str">
        <x:v>Tambahkan keyboard/focus, contrast, alt text hook, network errors, empty state, dan export metadata.</x:v>
      </x:c>
      <x:c r="E42" s="103" t="str">
        <x:v>Erin</x:v>
      </x:c>
      <x:c r="F42" s="103" t="str">
        <x:v>Adzki</x:v>
      </x:c>
      <x:c r="G42" s="103" t="str">
        <x:v>BACKLOG</x:v>
      </x:c>
      <x:c r="H42" s="103" t="str">
        <x:v>High</x:v>
      </x:c>
      <x:c r="I42" s="104" t="n">
        <x:v>46279</x:v>
      </x:c>
      <x:c r="J42" s="104" t="n">
        <x:v>46285</x:v>
      </x:c>
      <x:c r="K42" s="103" t="str">
        <x:v>Product</x:v>
      </x:c>
      <x:c r="L42" s="103" t="str">
        <x:v>tb-insight;real-data;s4;product</x:v>
      </x:c>
      <x:c r="M42" s="103" t="str">
        <x:v>S4-ERI-01</x:v>
      </x:c>
      <x:c r="N42" s="105" t="n">
        <x:v>12</x:v>
      </x:c>
      <x:c r="O42" s="103" t="str">
        <x:v>frontend/</x:v>
      </x:c>
      <x:c r="P42" s="103" t="str">
        <x:v>Critical flows dapat diakses keyboard; error tidak menampilkan angka stale; export menyertakan metadata.</x:v>
      </x:c>
      <x:c r="Q42" s="103" t="str"/>
      <x:c r="R42" s="103" t="str">
        <x:v>Medium</x:v>
      </x:c>
      <x:c r="S42" s="106" t="str">
        <x:v>Not Applicable</x:v>
      </x:c>
    </x:row>
    <x:row r="43">
      <x:c r="A43" s="102" t="str">
        <x:v>S4 — Sensitivity &amp; Integration</x:v>
      </x:c>
      <x:c r="B43" s="103" t="str">
        <x:v>S4-ADZ-01</x:v>
      </x:c>
      <x:c r="C43" s="103" t="str">
        <x:v>[S4-ADZ-01] Full manuscript draft v0.7</x:v>
      </x:c>
      <x:c r="D43" s="103" t="str">
        <x:v>Gabungkan Introduction, Methods, Results awal, Discussion, dan Limitations.</x:v>
      </x:c>
      <x:c r="E43" s="103" t="str">
        <x:v>Adzki</x:v>
      </x:c>
      <x:c r="F43" s="103" t="str">
        <x:v>Stephen</x:v>
      </x:c>
      <x:c r="G43" s="103" t="str">
        <x:v>BACKLOG</x:v>
      </x:c>
      <x:c r="H43" s="103" t="str">
        <x:v>Urgent</x:v>
      </x:c>
      <x:c r="I43" s="104" t="n">
        <x:v>46279</x:v>
      </x:c>
      <x:c r="J43" s="104" t="n">
        <x:v>46285</x:v>
      </x:c>
      <x:c r="K43" s="103" t="str">
        <x:v>Writing</x:v>
      </x:c>
      <x:c r="L43" s="103" t="str">
        <x:v>tb-insight;real-data;s4;writing</x:v>
      </x:c>
      <x:c r="M43" s="103" t="str">
        <x:v>S4-STE-01,S4-DAM-01</x:v>
      </x:c>
      <x:c r="N43" s="105" t="n">
        <x:v>22</x:v>
      </x:c>
      <x:c r="O43" s="103" t="str">
        <x:v>docs/writing/manuscript-v0.7.docx</x:v>
      </x:c>
      <x:c r="P43" s="103" t="str">
        <x:v>Semua section utama terisi; causal language dihapus; limitation dua tahun dan provisional jelas.</x:v>
      </x:c>
      <x:c r="Q43" s="103" t="str"/>
      <x:c r="R43" s="103" t="str">
        <x:v>Medium</x:v>
      </x:c>
      <x:c r="S43" s="106" t="str">
        <x:v>Not Applicable</x:v>
      </x:c>
    </x:row>
    <x:row r="44">
      <x:c r="A44" s="102" t="str">
        <x:v>S4 — Sensitivity &amp; Integration</x:v>
      </x:c>
      <x:c r="B44" s="103" t="str">
        <x:v>S4-ADZ-02</x:v>
      </x:c>
      <x:c r="C44" s="103" t="str">
        <x:v>[S4-ADZ-02] Number and claim reconciliation</x:v>
      </x:c>
      <x:c r="D44" s="103" t="str">
        <x:v>Cocokkan angka/narasi manuskrip dengan output manifest dan dashboard.</x:v>
      </x:c>
      <x:c r="E44" s="103" t="str">
        <x:v>Adzki</x:v>
      </x:c>
      <x:c r="F44" s="103" t="str">
        <x:v>Venedict</x:v>
      </x:c>
      <x:c r="G44" s="103" t="str">
        <x:v>BACKLOG</x:v>
      </x:c>
      <x:c r="H44" s="103" t="str">
        <x:v>Urgent</x:v>
      </x:c>
      <x:c r="I44" s="104" t="n">
        <x:v>46279</x:v>
      </x:c>
      <x:c r="J44" s="104" t="n">
        <x:v>46285</x:v>
      </x:c>
      <x:c r="K44" s="103" t="str">
        <x:v>Writing</x:v>
      </x:c>
      <x:c r="L44" s="103" t="str">
        <x:v>tb-insight;real-data;s4;writing</x:v>
      </x:c>
      <x:c r="M44" s="103" t="str">
        <x:v>S4-VEN-02,S4-ADZ-01,S4-ERI-01</x:v>
      </x:c>
      <x:c r="N44" s="105" t="n">
        <x:v>12</x:v>
      </x:c>
      <x:c r="O44" s="103" t="str">
        <x:v>docs/writing/claim-audit-s4.xlsx</x:v>
      </x:c>
      <x:c r="P44" s="103" t="str">
        <x:v>Setiap angka memiliki output ID; mismatch terbuka = 0 untuk hasil utama.</x:v>
      </x:c>
      <x:c r="Q44" s="103" t="str"/>
      <x:c r="R44" s="103" t="str">
        <x:v>Medium</x:v>
      </x:c>
      <x:c r="S44" s="106" t="str">
        <x:v>Not Applicable</x:v>
      </x:c>
    </x:row>
    <x:row r="45">
      <x:c r="A45" s="102" t="str">
        <x:v>S4 — Sensitivity &amp; Integration</x:v>
      </x:c>
      <x:c r="B45" s="103" t="str">
        <x:v>M4</x:v>
      </x:c>
      <x:c r="C45" s="103" t="str">
        <x:v>[M4] M4 — Analysis Freeze</x:v>
      </x:c>
      <x:c r="D45" s="103" t="str">
        <x:v>Bekukan angka, model, tabel, dan peta utama; perubahan setelah gate memakai change request.</x:v>
      </x:c>
      <x:c r="E45" s="103" t="str">
        <x:v>Stephen</x:v>
      </x:c>
      <x:c r="F45" s="103" t="str">
        <x:v>Seluruh Tim</x:v>
      </x:c>
      <x:c r="G45" s="103" t="str">
        <x:v>BACKLOG</x:v>
      </x:c>
      <x:c r="H45" s="103" t="str">
        <x:v>Urgent</x:v>
      </x:c>
      <x:c r="I45" s="104" t="n">
        <x:v>46279</x:v>
      </x:c>
      <x:c r="J45" s="104" t="n">
        <x:v>46285</x:v>
      </x:c>
      <x:c r="K45" s="103" t="str">
        <x:v>QA</x:v>
      </x:c>
      <x:c r="L45" s="103" t="str">
        <x:v>tb-insight;real-data;s4;qa</x:v>
      </x:c>
      <x:c r="M45" s="103" t="str">
        <x:v>S4-VEN-02,S4-STE-02,S4-DAM-02,S4-ERI-02,S4-ADZ-02</x:v>
      </x:c>
      <x:c r="N45" s="105" t="n">
        <x:v>5</x:v>
      </x:c>
      <x:c r="O45" s="103" t="str">
        <x:v>docs/decisions/M4-signoff.md</x:v>
      </x:c>
      <x:c r="P45" s="103" t="str">
        <x:v>Primary/sensitivity complete; residual spatial diperiksa; angka utama konsisten lintas produk.</x:v>
      </x:c>
      <x:c r="Q45" s="103" t="str">
        <x:v>M4 Analysis Freeze</x:v>
      </x:c>
      <x:c r="R45" s="103" t="str">
        <x:v>High</x:v>
      </x:c>
      <x:c r="S45" s="106" t="str">
        <x:v>Frozen</x:v>
      </x:c>
    </x:row>
    <x:row r="46">
      <x:c r="A46" s="102" t="str">
        <x:v>S5 — Release Candidate</x:v>
      </x:c>
      <x:c r="B46" s="103" t="str">
        <x:v>S5-VEN-01</x:v>
      </x:c>
      <x:c r="C46" s="103" t="str">
        <x:v>[S5-VEN-01] Release pipeline, codebook, dan QA report</x:v>
      </x:c>
      <x:c r="D46" s="103" t="str">
        <x:v>Finalisasi pipeline reproducible, codebook, source ledger, checksums, dan QA report.</x:v>
      </x:c>
      <x:c r="E46" s="103" t="str">
        <x:v>Venedict</x:v>
      </x:c>
      <x:c r="F46" s="103" t="str">
        <x:v>Stephen</x:v>
      </x:c>
      <x:c r="G46" s="103" t="str">
        <x:v>BACKLOG</x:v>
      </x:c>
      <x:c r="H46" s="103" t="str">
        <x:v>Urgent</x:v>
      </x:c>
      <x:c r="I46" s="104" t="n">
        <x:v>46286</x:v>
      </x:c>
      <x:c r="J46" s="104" t="n">
        <x:v>46292</x:v>
      </x:c>
      <x:c r="K46" s="103" t="str">
        <x:v>Data</x:v>
      </x:c>
      <x:c r="L46" s="103" t="str">
        <x:v>tb-insight;real-data;s5;data</x:v>
      </x:c>
      <x:c r="M46" s="103" t="str">
        <x:v>M4</x:v>
      </x:c>
      <x:c r="N46" s="105" t="n">
        <x:v>20</x:v>
      </x:c>
      <x:c r="O46" s="103" t="str">
        <x:v>data/processed/release_candidate/</x:v>
      </x:c>
      <x:c r="P46" s="103" t="str">
        <x:v>Satu command menghasilkan seluruh output release; validator PASS; provenance lengkap.</x:v>
      </x:c>
      <x:c r="Q46" s="103" t="str"/>
      <x:c r="R46" s="103" t="str">
        <x:v>Medium</x:v>
      </x:c>
      <x:c r="S46" s="106" t="str">
        <x:v>Not Applicable</x:v>
      </x:c>
    </x:row>
    <x:row r="47">
      <x:c r="A47" s="102" t="str">
        <x:v>S5 — Release Candidate</x:v>
      </x:c>
      <x:c r="B47" s="103" t="str">
        <x:v>S5-VEN-02</x:v>
      </x:c>
      <x:c r="C47" s="103" t="str">
        <x:v>[S5-VEN-02] Publication analytical tables</x:v>
      </x:c>
      <x:c r="D47" s="103" t="str">
        <x:v>Hasilkan tabel deskriptif/model/sensitivity siap publikasi dari manifest frozen.</x:v>
      </x:c>
      <x:c r="E47" s="103" t="str">
        <x:v>Venedict</x:v>
      </x:c>
      <x:c r="F47" s="103" t="str">
        <x:v>Adzki</x:v>
      </x:c>
      <x:c r="G47" s="103" t="str">
        <x:v>BACKLOG</x:v>
      </x:c>
      <x:c r="H47" s="103" t="str">
        <x:v>High</x:v>
      </x:c>
      <x:c r="I47" s="104" t="n">
        <x:v>46286</x:v>
      </x:c>
      <x:c r="J47" s="104" t="n">
        <x:v>46292</x:v>
      </x:c>
      <x:c r="K47" s="103" t="str">
        <x:v>Data</x:v>
      </x:c>
      <x:c r="L47" s="103" t="str">
        <x:v>tb-insight;real-data;s5;data</x:v>
      </x:c>
      <x:c r="M47" s="103" t="str">
        <x:v>S5-VEN-01</x:v>
      </x:c>
      <x:c r="N47" s="105" t="n">
        <x:v>12</x:v>
      </x:c>
      <x:c r="O47" s="103" t="str">
        <x:v>results/publication/tables/</x:v>
      </x:c>
      <x:c r="P47" s="103" t="str">
        <x:v>Tabel memiliki title, unit, N, footnote, source, provisional note, dan machine-readable copy.</x:v>
      </x:c>
      <x:c r="Q47" s="103" t="str"/>
      <x:c r="R47" s="103" t="str">
        <x:v>Medium</x:v>
      </x:c>
      <x:c r="S47" s="106" t="str">
        <x:v>Not Applicable</x:v>
      </x:c>
    </x:row>
    <x:row r="48">
      <x:c r="A48" s="102" t="str">
        <x:v>S5 — Release Candidate</x:v>
      </x:c>
      <x:c r="B48" s="103" t="str">
        <x:v>S5-STE-01</x:v>
      </x:c>
      <x:c r="C48" s="103" t="str">
        <x:v>[S5-STE-01] Final model report dan interpretation</x:v>
      </x:c>
      <x:c r="D48" s="103" t="str">
        <x:v>Finalisasi primary/secondary result, CI, diagnostics, dan interpretasi plain language.</x:v>
      </x:c>
      <x:c r="E48" s="103" t="str">
        <x:v>Stephen</x:v>
      </x:c>
      <x:c r="F48" s="103" t="str">
        <x:v>Adzki</x:v>
      </x:c>
      <x:c r="G48" s="103" t="str">
        <x:v>BACKLOG</x:v>
      </x:c>
      <x:c r="H48" s="103" t="str">
        <x:v>Urgent</x:v>
      </x:c>
      <x:c r="I48" s="104" t="n">
        <x:v>46286</x:v>
      </x:c>
      <x:c r="J48" s="104" t="n">
        <x:v>46292</x:v>
      </x:c>
      <x:c r="K48" s="103" t="str">
        <x:v>Modeling</x:v>
      </x:c>
      <x:c r="L48" s="103" t="str">
        <x:v>tb-insight;real-data;s5;modeling</x:v>
      </x:c>
      <x:c r="M48" s="103" t="str">
        <x:v>M4,S5-VEN-02</x:v>
      </x:c>
      <x:c r="N48" s="105" t="n">
        <x:v>20</x:v>
      </x:c>
      <x:c r="O48" s="103" t="str">
        <x:v>results/publication/model_report.md</x:v>
      </x:c>
      <x:c r="P48" s="103" t="str">
        <x:v>Interpretasi konsisten dengan scale/link; non-significant dan unstable findings tidak dihilangkan.</x:v>
      </x:c>
      <x:c r="Q48" s="103" t="str"/>
      <x:c r="R48" s="103" t="str">
        <x:v>Medium</x:v>
      </x:c>
      <x:c r="S48" s="106" t="str">
        <x:v>Not Applicable</x:v>
      </x:c>
    </x:row>
    <x:row r="49">
      <x:c r="A49" s="102" t="str">
        <x:v>S5 — Release Candidate</x:v>
      </x:c>
      <x:c r="B49" s="103" t="str">
        <x:v>S5-STE-02</x:v>
      </x:c>
      <x:c r="C49" s="103" t="str">
        <x:v>[S5-STE-02] Robustness appendix</x:v>
      </x:c>
      <x:c r="D49" s="103" t="str">
        <x:v>Susun seluruh sensitivity dalam appendix ringkas dan audit trail keputusan.</x:v>
      </x:c>
      <x:c r="E49" s="103" t="str">
        <x:v>Stephen</x:v>
      </x:c>
      <x:c r="F49" s="103" t="str">
        <x:v>Venedict</x:v>
      </x:c>
      <x:c r="G49" s="103" t="str">
        <x:v>BACKLOG</x:v>
      </x:c>
      <x:c r="H49" s="103" t="str">
        <x:v>High</x:v>
      </x:c>
      <x:c r="I49" s="104" t="n">
        <x:v>46286</x:v>
      </x:c>
      <x:c r="J49" s="104" t="n">
        <x:v>46292</x:v>
      </x:c>
      <x:c r="K49" s="103" t="str">
        <x:v>Modeling</x:v>
      </x:c>
      <x:c r="L49" s="103" t="str">
        <x:v>tb-insight;real-data;s5;modeling</x:v>
      </x:c>
      <x:c r="M49" s="103" t="str">
        <x:v>S5-STE-01</x:v>
      </x:c>
      <x:c r="N49" s="105" t="n">
        <x:v>12</x:v>
      </x:c>
      <x:c r="O49" s="103" t="str">
        <x:v>results/publication/robustness_appendix.xlsx</x:v>
      </x:c>
      <x:c r="P49" s="103" t="str">
        <x:v>Setiap row berisi specification, rationale, estimate, CI, N, convergence, dan conclusion.</x:v>
      </x:c>
      <x:c r="Q49" s="103" t="str"/>
      <x:c r="R49" s="103" t="str">
        <x:v>Medium</x:v>
      </x:c>
      <x:c r="S49" s="106" t="str">
        <x:v>Not Applicable</x:v>
      </x:c>
    </x:row>
    <x:row r="50">
      <x:c r="A50" s="102" t="str">
        <x:v>S5 — Release Candidate</x:v>
      </x:c>
      <x:c r="B50" s="103" t="str">
        <x:v>S5-DAM-01</x:v>
      </x:c>
      <x:c r="C50" s="103" t="str">
        <x:v>[S5-DAM-01] Publication-quality maps</x:v>
      </x:c>
      <x:c r="D50" s="103" t="str">
        <x:v>Finalisasi peta utama/supplement dengan layout, legend, projection, uncertainty, dan provenance.</x:v>
      </x:c>
      <x:c r="E50" s="103" t="str">
        <x:v>Dame</x:v>
      </x:c>
      <x:c r="F50" s="103" t="str">
        <x:v>Erin</x:v>
      </x:c>
      <x:c r="G50" s="103" t="str">
        <x:v>BACKLOG</x:v>
      </x:c>
      <x:c r="H50" s="103" t="str">
        <x:v>Urgent</x:v>
      </x:c>
      <x:c r="I50" s="104" t="n">
        <x:v>46286</x:v>
      </x:c>
      <x:c r="J50" s="104" t="n">
        <x:v>46292</x:v>
      </x:c>
      <x:c r="K50" s="103" t="str">
        <x:v>Spatial</x:v>
      </x:c>
      <x:c r="L50" s="103" t="str">
        <x:v>tb-insight;real-data;s5;spatial</x:v>
      </x:c>
      <x:c r="M50" s="103" t="str">
        <x:v>M4</x:v>
      </x:c>
      <x:c r="N50" s="105" t="n">
        <x:v>22</x:v>
      </x:c>
      <x:c r="O50" s="103" t="str">
        <x:v>results/publication/maps/</x:v>
      </x:c>
      <x:c r="P50" s="103" t="str">
        <x:v>Peta readable grayscale/color-safe; class breaks konsisten; source/period/unit tampil.</x:v>
      </x:c>
      <x:c r="Q50" s="103" t="str"/>
      <x:c r="R50" s="103" t="str">
        <x:v>Medium</x:v>
      </x:c>
      <x:c r="S50" s="106" t="str">
        <x:v>Not Applicable</x:v>
      </x:c>
    </x:row>
    <x:row r="51">
      <x:c r="A51" s="102" t="str">
        <x:v>S5 — Release Candidate</x:v>
      </x:c>
      <x:c r="B51" s="103" t="str">
        <x:v>S5-DAM-02</x:v>
      </x:c>
      <x:c r="C51" s="103" t="str">
        <x:v>[S5-DAM-02] Cartography QA dan alt-text package</x:v>
      </x:c>
      <x:c r="D51" s="103" t="str">
        <x:v>Lakukan peer QA dan tulis deskripsi aksesibel untuk setiap peta.</x:v>
      </x:c>
      <x:c r="E51" s="103" t="str">
        <x:v>Dame</x:v>
      </x:c>
      <x:c r="F51" s="103" t="str">
        <x:v>Adzki</x:v>
      </x:c>
      <x:c r="G51" s="103" t="str">
        <x:v>BACKLOG</x:v>
      </x:c>
      <x:c r="H51" s="103" t="str">
        <x:v>High</x:v>
      </x:c>
      <x:c r="I51" s="104" t="n">
        <x:v>46286</x:v>
      </x:c>
      <x:c r="J51" s="104" t="n">
        <x:v>46292</x:v>
      </x:c>
      <x:c r="K51" s="103" t="str">
        <x:v>Spatial</x:v>
      </x:c>
      <x:c r="L51" s="103" t="str">
        <x:v>tb-insight;real-data;s5;spatial</x:v>
      </x:c>
      <x:c r="M51" s="103" t="str">
        <x:v>S5-DAM-01</x:v>
      </x:c>
      <x:c r="N51" s="105" t="n">
        <x:v>8</x:v>
      </x:c>
      <x:c r="O51" s="103" t="str">
        <x:v>results/publication/maps/map_manifest.csv</x:v>
      </x:c>
      <x:c r="P51" s="103" t="str">
        <x:v>Setiap map memiliki alt-text, output ID, source, unit, period, method, dan limitation.</x:v>
      </x:c>
      <x:c r="Q51" s="103" t="str"/>
      <x:c r="R51" s="103" t="str">
        <x:v>Medium</x:v>
      </x:c>
      <x:c r="S51" s="106" t="str">
        <x:v>Not Applicable</x:v>
      </x:c>
    </x:row>
    <x:row r="52">
      <x:c r="A52" s="102" t="str">
        <x:v>S5 — Release Candidate</x:v>
      </x:c>
      <x:c r="B52" s="103" t="str">
        <x:v>S5-ERI-01</x:v>
      </x:c>
      <x:c r="C52" s="103" t="str">
        <x:v>[S5-ERI-01] Moderated usability test</x:v>
      </x:c>
      <x:c r="D52" s="103" t="str">
        <x:v>Uji lima alur utama dengan skenario, catat severity, dan prioritaskan defect.</x:v>
      </x:c>
      <x:c r="E52" s="103" t="str">
        <x:v>Erin</x:v>
      </x:c>
      <x:c r="F52" s="103" t="str">
        <x:v>Dame</x:v>
      </x:c>
      <x:c r="G52" s="103" t="str">
        <x:v>BACKLOG</x:v>
      </x:c>
      <x:c r="H52" s="103" t="str">
        <x:v>Urgent</x:v>
      </x:c>
      <x:c r="I52" s="104" t="n">
        <x:v>46286</x:v>
      </x:c>
      <x:c r="J52" s="104" t="n">
        <x:v>46292</x:v>
      </x:c>
      <x:c r="K52" s="103" t="str">
        <x:v>Product</x:v>
      </x:c>
      <x:c r="L52" s="103" t="str">
        <x:v>tb-insight;real-data;s5;product</x:v>
      </x:c>
      <x:c r="M52" s="103" t="str">
        <x:v>M4</x:v>
      </x:c>
      <x:c r="N52" s="105" t="n">
        <x:v>12</x:v>
      </x:c>
      <x:c r="O52" s="103" t="str">
        <x:v>docs/design/usability-test-s5.md</x:v>
      </x:c>
      <x:c r="P52" s="103" t="str">
        <x:v>Minimal 5 sesi atau expert reviews; issue memiliki evidence, severity P0–P2, owner, dan disposition.</x:v>
      </x:c>
      <x:c r="Q52" s="103" t="str"/>
      <x:c r="R52" s="103" t="str">
        <x:v>Medium</x:v>
      </x:c>
      <x:c r="S52" s="106" t="str">
        <x:v>Not Applicable</x:v>
      </x:c>
    </x:row>
    <x:row r="53">
      <x:c r="A53" s="102" t="str">
        <x:v>S5 — Release Candidate</x:v>
      </x:c>
      <x:c r="B53" s="103" t="str">
        <x:v>S5-ERI-02</x:v>
      </x:c>
      <x:c r="C53" s="103" t="str">
        <x:v>[S5-ERI-02] Dashboard release candidate</x:v>
      </x:c>
      <x:c r="D53" s="103" t="str">
        <x:v>Tutup issue prioritas, polish responsive hierarchy, dan buat RC deployment package.</x:v>
      </x:c>
      <x:c r="E53" s="103" t="str">
        <x:v>Erin</x:v>
      </x:c>
      <x:c r="F53" s="103" t="str">
        <x:v>Venedict</x:v>
      </x:c>
      <x:c r="G53" s="103" t="str">
        <x:v>BACKLOG</x:v>
      </x:c>
      <x:c r="H53" s="103" t="str">
        <x:v>Urgent</x:v>
      </x:c>
      <x:c r="I53" s="104" t="n">
        <x:v>46286</x:v>
      </x:c>
      <x:c r="J53" s="104" t="n">
        <x:v>46292</x:v>
      </x:c>
      <x:c r="K53" s="103" t="str">
        <x:v>Product</x:v>
      </x:c>
      <x:c r="L53" s="103" t="str">
        <x:v>tb-insight;real-data;s5;product</x:v>
      </x:c>
      <x:c r="M53" s="103" t="str">
        <x:v>S5-ERI-01,S5-DAM-02</x:v>
      </x:c>
      <x:c r="N53" s="105" t="n">
        <x:v>18</x:v>
      </x:c>
      <x:c r="O53" s="103" t="str">
        <x:v>frontend/</x:v>
      </x:c>
      <x:c r="P53" s="103" t="str">
        <x:v>Tidak ada defect P0; P1 memiliki resolution; build/test script dan demo flow terdokumentasi.</x:v>
      </x:c>
      <x:c r="Q53" s="103" t="str"/>
      <x:c r="R53" s="103" t="str">
        <x:v>Medium</x:v>
      </x:c>
      <x:c r="S53" s="106" t="str">
        <x:v>Not Applicable</x:v>
      </x:c>
    </x:row>
    <x:row r="54">
      <x:c r="A54" s="102" t="str">
        <x:v>S5 — Release Candidate</x:v>
      </x:c>
      <x:c r="B54" s="103" t="str">
        <x:v>S5-ADZ-01</x:v>
      </x:c>
      <x:c r="C54" s="103" t="str">
        <x:v>[S5-ADZ-01] Manuscript v1 and supplementary materials</x:v>
      </x:c>
      <x:c r="D54" s="103" t="str">
        <x:v>Selesaikan full manuscript, abstract, discussion, limitation, tables/figures, dan supplement.</x:v>
      </x:c>
      <x:c r="E54" s="103" t="str">
        <x:v>Adzki</x:v>
      </x:c>
      <x:c r="F54" s="103" t="str">
        <x:v>Stephen</x:v>
      </x:c>
      <x:c r="G54" s="103" t="str">
        <x:v>BACKLOG</x:v>
      </x:c>
      <x:c r="H54" s="103" t="str">
        <x:v>Urgent</x:v>
      </x:c>
      <x:c r="I54" s="104" t="n">
        <x:v>46286</x:v>
      </x:c>
      <x:c r="J54" s="104" t="n">
        <x:v>46292</x:v>
      </x:c>
      <x:c r="K54" s="103" t="str">
        <x:v>Writing</x:v>
      </x:c>
      <x:c r="L54" s="103" t="str">
        <x:v>tb-insight;real-data;s5;writing</x:v>
      </x:c>
      <x:c r="M54" s="103" t="str">
        <x:v>S5-STE-02,S5-DAM-02</x:v>
      </x:c>
      <x:c r="N54" s="105" t="n">
        <x:v>22</x:v>
      </x:c>
      <x:c r="O54" s="103" t="str">
        <x:v>docs/writing/manuscript-v1.docx</x:v>
      </x:c>
      <x:c r="P54" s="103" t="str">
        <x:v>Tidak ada placeholder hasil utama; callout tabel/gambar benar; claim sesuai evidence.</x:v>
      </x:c>
      <x:c r="Q54" s="103" t="str"/>
      <x:c r="R54" s="103" t="str">
        <x:v>Medium</x:v>
      </x:c>
      <x:c r="S54" s="106" t="str">
        <x:v>Not Applicable</x:v>
      </x:c>
    </x:row>
    <x:row r="55">
      <x:c r="A55" s="102" t="str">
        <x:v>S5 — Release Candidate</x:v>
      </x:c>
      <x:c r="B55" s="103" t="str">
        <x:v>S5-ADZ-02</x:v>
      </x:c>
      <x:c r="C55" s="103" t="str">
        <x:v>[S5-ADZ-02] Reference and reproducibility appendix audit</x:v>
      </x:c>
      <x:c r="D55" s="103" t="str">
        <x:v>Audit referensi, DOI, dataset citation, source ledger, software version, dan reproducibility steps.</x:v>
      </x:c>
      <x:c r="E55" s="103" t="str">
        <x:v>Adzki</x:v>
      </x:c>
      <x:c r="F55" s="103" t="str">
        <x:v>Venedict</x:v>
      </x:c>
      <x:c r="G55" s="103" t="str">
        <x:v>BACKLOG</x:v>
      </x:c>
      <x:c r="H55" s="103" t="str">
        <x:v>High</x:v>
      </x:c>
      <x:c r="I55" s="104" t="n">
        <x:v>46286</x:v>
      </x:c>
      <x:c r="J55" s="104" t="n">
        <x:v>46292</x:v>
      </x:c>
      <x:c r="K55" s="103" t="str">
        <x:v>Writing</x:v>
      </x:c>
      <x:c r="L55" s="103" t="str">
        <x:v>tb-insight;real-data;s5;writing</x:v>
      </x:c>
      <x:c r="M55" s="103" t="str">
        <x:v>S5-ADZ-01,S5-VEN-01</x:v>
      </x:c>
      <x:c r="N55" s="105" t="n">
        <x:v>10</x:v>
      </x:c>
      <x:c r="O55" s="103" t="str">
        <x:v>docs/writing/reproducibility-appendix.md</x:v>
      </x:c>
      <x:c r="P55" s="103" t="str">
        <x:v>Broken DOI/URL = 0; seluruh data/software citation dan access date tersedia.</x:v>
      </x:c>
      <x:c r="Q55" s="103" t="str"/>
      <x:c r="R55" s="103" t="str">
        <x:v>Medium</x:v>
      </x:c>
      <x:c r="S55" s="106" t="str">
        <x:v>Not Applicable</x:v>
      </x:c>
    </x:row>
    <x:row r="56">
      <x:c r="A56" s="102" t="str">
        <x:v>S5 — Release Candidate</x:v>
      </x:c>
      <x:c r="B56" s="103" t="str">
        <x:v>M5</x:v>
      </x:c>
      <x:c r="C56" s="103" t="str">
        <x:v>[M5] M5 — Release Candidate Review</x:v>
      </x:c>
      <x:c r="D56" s="103" t="str">
        <x:v>Demo internal, scientific review, manuscript review, dan defect triage.</x:v>
      </x:c>
      <x:c r="E56" s="103" t="str">
        <x:v>Erin</x:v>
      </x:c>
      <x:c r="F56" s="103" t="str">
        <x:v>Seluruh Tim</x:v>
      </x:c>
      <x:c r="G56" s="103" t="str">
        <x:v>BACKLOG</x:v>
      </x:c>
      <x:c r="H56" s="103" t="str">
        <x:v>Urgent</x:v>
      </x:c>
      <x:c r="I56" s="104" t="n">
        <x:v>46286</x:v>
      </x:c>
      <x:c r="J56" s="104" t="n">
        <x:v>46292</x:v>
      </x:c>
      <x:c r="K56" s="103" t="str">
        <x:v>QA</x:v>
      </x:c>
      <x:c r="L56" s="103" t="str">
        <x:v>tb-insight;real-data;s5;qa</x:v>
      </x:c>
      <x:c r="M56" s="103" t="str">
        <x:v>S5-VEN-01,S5-STE-02,S5-DAM-02,S5-ERI-02,S5-ADZ-02</x:v>
      </x:c>
      <x:c r="N56" s="105" t="n">
        <x:v>4</x:v>
      </x:c>
      <x:c r="O56" s="103" t="str">
        <x:v>docs/decisions/M5-signoff.md</x:v>
      </x:c>
      <x:c r="P56" s="103" t="str">
        <x:v>RC dapat didemonstrasikan; defect P0 = 0; P1 memiliki owner sebelum S6.</x:v>
      </x:c>
      <x:c r="Q56" s="103" t="str">
        <x:v>M5 Release Candidate</x:v>
      </x:c>
      <x:c r="R56" s="103" t="str">
        <x:v>High</x:v>
      </x:c>
      <x:c r="S56" s="106" t="str">
        <x:v>Frozen</x:v>
      </x:c>
    </x:row>
    <x:row r="57">
      <x:c r="A57" s="102" t="str">
        <x:v>S6 — Final Validation &amp; Handover</x:v>
      </x:c>
      <x:c r="B57" s="103" t="str">
        <x:v>S6-VEN-01</x:v>
      </x:c>
      <x:c r="C57" s="103" t="str">
        <x:v>[S6-VEN-01] Clean-environment independent reproduction</x:v>
      </x:c>
      <x:c r="D57" s="103" t="str">
        <x:v>Rebuild data dan output utama dari README pada environment bersih dan catat durasi/error.</x:v>
      </x:c>
      <x:c r="E57" s="103" t="str">
        <x:v>Venedict</x:v>
      </x:c>
      <x:c r="F57" s="103" t="str">
        <x:v>Stephen</x:v>
      </x:c>
      <x:c r="G57" s="103" t="str">
        <x:v>BACKLOG</x:v>
      </x:c>
      <x:c r="H57" s="103" t="str">
        <x:v>Urgent</x:v>
      </x:c>
      <x:c r="I57" s="104" t="n">
        <x:v>46293</x:v>
      </x:c>
      <x:c r="J57" s="104" t="n">
        <x:v>46299</x:v>
      </x:c>
      <x:c r="K57" s="103" t="str">
        <x:v>QA</x:v>
      </x:c>
      <x:c r="L57" s="103" t="str">
        <x:v>tb-insight;real-data;s6;qa</x:v>
      </x:c>
      <x:c r="M57" s="103" t="str">
        <x:v>M5</x:v>
      </x:c>
      <x:c r="N57" s="105" t="n">
        <x:v>18</x:v>
      </x:c>
      <x:c r="O57" s="103" t="str">
        <x:v>results/reproduction/clean_run_log.md</x:v>
      </x:c>
      <x:c r="P57" s="103" t="str">
        <x:v>Pipeline PASS; checksums output utama cocok atau perbedaan dijelaskan; langkah manual = 0/minimal.</x:v>
      </x:c>
      <x:c r="Q57" s="103" t="str"/>
      <x:c r="R57" s="103" t="str">
        <x:v>Medium</x:v>
      </x:c>
      <x:c r="S57" s="106" t="str">
        <x:v>Not Applicable</x:v>
      </x:c>
    </x:row>
    <x:row r="58">
      <x:c r="A58" s="102" t="str">
        <x:v>S6 — Final Validation &amp; Handover</x:v>
      </x:c>
      <x:c r="B58" s="103" t="str">
        <x:v>S6-VEN-02</x:v>
      </x:c>
      <x:c r="C58" s="103" t="str">
        <x:v>[S6-VEN-02] Final data and model release manifest</x:v>
      </x:c>
      <x:c r="D58" s="103" t="str">
        <x:v>Kunci version, checksums, licensed-data exclusions, dan daftar artifact final.</x:v>
      </x:c>
      <x:c r="E58" s="103" t="str">
        <x:v>Venedict</x:v>
      </x:c>
      <x:c r="F58" s="103" t="str">
        <x:v>Adzki</x:v>
      </x:c>
      <x:c r="G58" s="103" t="str">
        <x:v>BACKLOG</x:v>
      </x:c>
      <x:c r="H58" s="103" t="str">
        <x:v>Urgent</x:v>
      </x:c>
      <x:c r="I58" s="104" t="n">
        <x:v>46293</x:v>
      </x:c>
      <x:c r="J58" s="104" t="n">
        <x:v>46299</x:v>
      </x:c>
      <x:c r="K58" s="103" t="str">
        <x:v>Data</x:v>
      </x:c>
      <x:c r="L58" s="103" t="str">
        <x:v>tb-insight;real-data;s6;data</x:v>
      </x:c>
      <x:c r="M58" s="103" t="str">
        <x:v>S6-VEN-01</x:v>
      </x:c>
      <x:c r="N58" s="105" t="n">
        <x:v>8</x:v>
      </x:c>
      <x:c r="O58" s="103" t="str">
        <x:v>deliverables/final_release_manifest.csv</x:v>
      </x:c>
      <x:c r="P58" s="103" t="str">
        <x:v>Artifact final dapat ditelusuri; raw restricted tidak ikut package; synthetic artifact = 0.</x:v>
      </x:c>
      <x:c r="Q58" s="103" t="str"/>
      <x:c r="R58" s="103" t="str">
        <x:v>Medium</x:v>
      </x:c>
      <x:c r="S58" s="106" t="str">
        <x:v>Not Applicable</x:v>
      </x:c>
    </x:row>
    <x:row r="59">
      <x:c r="A59" s="102" t="str">
        <x:v>S6 — Final Validation &amp; Handover</x:v>
      </x:c>
      <x:c r="B59" s="103" t="str">
        <x:v>S6-STE-01</x:v>
      </x:c>
      <x:c r="C59" s="103" t="str">
        <x:v>[S6-STE-01] Independent model rerun dan sign-off</x:v>
      </x:c>
      <x:c r="D59" s="103" t="str">
        <x:v>Jalankan model utama dari release oleh reviewer dan cocokkan angka manuskrip.</x:v>
      </x:c>
      <x:c r="E59" s="103" t="str">
        <x:v>Stephen</x:v>
      </x:c>
      <x:c r="F59" s="103" t="str">
        <x:v>Venedict</x:v>
      </x:c>
      <x:c r="G59" s="103" t="str">
        <x:v>BACKLOG</x:v>
      </x:c>
      <x:c r="H59" s="103" t="str">
        <x:v>Urgent</x:v>
      </x:c>
      <x:c r="I59" s="104" t="n">
        <x:v>46293</x:v>
      </x:c>
      <x:c r="J59" s="104" t="n">
        <x:v>46299</x:v>
      </x:c>
      <x:c r="K59" s="103" t="str">
        <x:v>Modeling</x:v>
      </x:c>
      <x:c r="L59" s="103" t="str">
        <x:v>tb-insight;real-data;s6;modeling</x:v>
      </x:c>
      <x:c r="M59" s="103" t="str">
        <x:v>S6-VEN-01</x:v>
      </x:c>
      <x:c r="N59" s="105" t="n">
        <x:v>16</x:v>
      </x:c>
      <x:c r="O59" s="103" t="str">
        <x:v>results/reproduction/model_signoff.md</x:v>
      </x:c>
      <x:c r="P59" s="103" t="str">
        <x:v>Coefficient/CI/N utama cocok dengan manuscript/table; discrepancy terbuka = 0.</x:v>
      </x:c>
      <x:c r="Q59" s="103" t="str"/>
      <x:c r="R59" s="103" t="str">
        <x:v>Medium</x:v>
      </x:c>
      <x:c r="S59" s="106" t="str">
        <x:v>Not Applicable</x:v>
      </x:c>
    </x:row>
    <x:row r="60">
      <x:c r="A60" s="102" t="str">
        <x:v>S6 — Final Validation &amp; Handover</x:v>
      </x:c>
      <x:c r="B60" s="103" t="str">
        <x:v>S6-STE-02</x:v>
      </x:c>
      <x:c r="C60" s="103" t="str">
        <x:v>[S6-STE-02] Plain-language findings and boundaries</x:v>
      </x:c>
      <x:c r="D60" s="103" t="str">
        <x:v>Ringkas temuan, uncertainty, apa yang tidak dapat disimpulkan, dan next-data needs.</x:v>
      </x:c>
      <x:c r="E60" s="103" t="str">
        <x:v>Stephen</x:v>
      </x:c>
      <x:c r="F60" s="103" t="str">
        <x:v>Adzki</x:v>
      </x:c>
      <x:c r="G60" s="103" t="str">
        <x:v>BACKLOG</x:v>
      </x:c>
      <x:c r="H60" s="103" t="str">
        <x:v>High</x:v>
      </x:c>
      <x:c r="I60" s="104" t="n">
        <x:v>46293</x:v>
      </x:c>
      <x:c r="J60" s="104" t="n">
        <x:v>46299</x:v>
      </x:c>
      <x:c r="K60" s="103" t="str">
        <x:v>Writing</x:v>
      </x:c>
      <x:c r="L60" s="103" t="str">
        <x:v>tb-insight;real-data;s6;writing</x:v>
      </x:c>
      <x:c r="M60" s="103" t="str">
        <x:v>S6-STE-01</x:v>
      </x:c>
      <x:c r="N60" s="105" t="n">
        <x:v>8</x:v>
      </x:c>
      <x:c r="O60" s="103" t="str">
        <x:v>deliverables/key_findings_and_limits.md</x:v>
      </x:c>
      <x:c r="P60" s="103" t="str">
        <x:v>Tidak ada causal/forecast claim; treatment initiation dan provisional status disebut eksplisit.</x:v>
      </x:c>
      <x:c r="Q60" s="103" t="str"/>
      <x:c r="R60" s="103" t="str">
        <x:v>Medium</x:v>
      </x:c>
      <x:c r="S60" s="106" t="str">
        <x:v>Not Applicable</x:v>
      </x:c>
    </x:row>
    <x:row r="61">
      <x:c r="A61" s="102" t="str">
        <x:v>S6 — Final Validation &amp; Handover</x:v>
      </x:c>
      <x:c r="B61" s="103" t="str">
        <x:v>S6-DAM-01</x:v>
      </x:c>
      <x:c r="C61" s="103" t="str">
        <x:v>[S6-DAM-01] Final spatial QA dan asset handover</x:v>
      </x:c>
      <x:c r="D61" s="103" t="str">
        <x:v>Final audit weights, maps, layers, joins, metadata, dan reproducibility spatial.</x:v>
      </x:c>
      <x:c r="E61" s="103" t="str">
        <x:v>Dame</x:v>
      </x:c>
      <x:c r="F61" s="103" t="str">
        <x:v>Erin</x:v>
      </x:c>
      <x:c r="G61" s="103" t="str">
        <x:v>BACKLOG</x:v>
      </x:c>
      <x:c r="H61" s="103" t="str">
        <x:v>Urgent</x:v>
      </x:c>
      <x:c r="I61" s="104" t="n">
        <x:v>46293</x:v>
      </x:c>
      <x:c r="J61" s="104" t="n">
        <x:v>46299</x:v>
      </x:c>
      <x:c r="K61" s="103" t="str">
        <x:v>Spatial</x:v>
      </x:c>
      <x:c r="L61" s="103" t="str">
        <x:v>tb-insight;real-data;s6;spatial</x:v>
      </x:c>
      <x:c r="M61" s="103" t="str">
        <x:v>M5,S6-STE-01</x:v>
      </x:c>
      <x:c r="N61" s="105" t="n">
        <x:v>16</x:v>
      </x:c>
      <x:c r="O61" s="103" t="str">
        <x:v>deliverables/spatial_handover/</x:v>
      </x:c>
      <x:c r="P61" s="103" t="str">
        <x:v>38 provinsi benar; seluruh map/layer memiliki version, CRS, source, dan generation script.</x:v>
      </x:c>
      <x:c r="Q61" s="103" t="str"/>
      <x:c r="R61" s="103" t="str">
        <x:v>Medium</x:v>
      </x:c>
      <x:c r="S61" s="106" t="str">
        <x:v>Not Applicable</x:v>
      </x:c>
    </x:row>
    <x:row r="62">
      <x:c r="A62" s="102" t="str">
        <x:v>S6 — Final Validation &amp; Handover</x:v>
      </x:c>
      <x:c r="B62" s="103" t="str">
        <x:v>S6-ERI-01</x:v>
      </x:c>
      <x:c r="C62" s="103" t="str">
        <x:v>[S6-ERI-01] End-to-end QA dan product handover</x:v>
      </x:c>
      <x:c r="D62" s="103" t="str">
        <x:v>Tutup P0/P1, test critical flows/build, serta tulis runbook dan demo script.</x:v>
      </x:c>
      <x:c r="E62" s="103" t="str">
        <x:v>Erin</x:v>
      </x:c>
      <x:c r="F62" s="103" t="str">
        <x:v>Dame</x:v>
      </x:c>
      <x:c r="G62" s="103" t="str">
        <x:v>BACKLOG</x:v>
      </x:c>
      <x:c r="H62" s="103" t="str">
        <x:v>Urgent</x:v>
      </x:c>
      <x:c r="I62" s="104" t="n">
        <x:v>46293</x:v>
      </x:c>
      <x:c r="J62" s="104" t="n">
        <x:v>46299</x:v>
      </x:c>
      <x:c r="K62" s="103" t="str">
        <x:v>Product</x:v>
      </x:c>
      <x:c r="L62" s="103" t="str">
        <x:v>tb-insight;real-data;s6;product</x:v>
      </x:c>
      <x:c r="M62" s="103" t="str">
        <x:v>M5,S6-DAM-01</x:v>
      </x:c>
      <x:c r="N62" s="105" t="n">
        <x:v>20</x:v>
      </x:c>
      <x:c r="O62" s="103" t="str">
        <x:v>deliverables/product_handover/</x:v>
      </x:c>
      <x:c r="P62" s="103" t="str">
        <x:v>Critical flow PASS; P0/P1 = 0; runbook baru dapat diikuti reviewer non-pembuat.</x:v>
      </x:c>
      <x:c r="Q62" s="103" t="str"/>
      <x:c r="R62" s="103" t="str">
        <x:v>Medium</x:v>
      </x:c>
      <x:c r="S62" s="106" t="str">
        <x:v>Not Applicable</x:v>
      </x:c>
    </x:row>
    <x:row r="63">
      <x:c r="A63" s="102" t="str">
        <x:v>S6 — Final Validation &amp; Handover</x:v>
      </x:c>
      <x:c r="B63" s="103" t="str">
        <x:v>S6-ADZ-01</x:v>
      </x:c>
      <x:c r="C63" s="103" t="str">
        <x:v>[S6-ADZ-01] Final manuscript and submission checklist</x:v>
      </x:c>
      <x:c r="D63" s="103" t="str">
        <x:v>Final language, references, tables/figures, supplement, author checklist, dan cover summary.</x:v>
      </x:c>
      <x:c r="E63" s="103" t="str">
        <x:v>Adzki</x:v>
      </x:c>
      <x:c r="F63" s="103" t="str">
        <x:v>Stephen</x:v>
      </x:c>
      <x:c r="G63" s="103" t="str">
        <x:v>BACKLOG</x:v>
      </x:c>
      <x:c r="H63" s="103" t="str">
        <x:v>Urgent</x:v>
      </x:c>
      <x:c r="I63" s="104" t="n">
        <x:v>46293</x:v>
      </x:c>
      <x:c r="J63" s="104" t="n">
        <x:v>46299</x:v>
      </x:c>
      <x:c r="K63" s="103" t="str">
        <x:v>Writing</x:v>
      </x:c>
      <x:c r="L63" s="103" t="str">
        <x:v>tb-insight;real-data;s6;writing</x:v>
      </x:c>
      <x:c r="M63" s="103" t="str">
        <x:v>S6-STE-02,S6-DAM-01,S6-ERI-01</x:v>
      </x:c>
      <x:c r="N63" s="105" t="n">
        <x:v>20</x:v>
      </x:c>
      <x:c r="O63" s="103" t="str">
        <x:v>deliverables/manuscript_final/</x:v>
      </x:c>
      <x:c r="P63" s="103" t="str">
        <x:v>Angka final reconciled; references complete; limitation visible; checklist siap submission.</x:v>
      </x:c>
      <x:c r="Q63" s="103" t="str"/>
      <x:c r="R63" s="103" t="str">
        <x:v>Medium</x:v>
      </x:c>
      <x:c r="S63" s="106" t="str">
        <x:v>Not Applicable</x:v>
      </x:c>
    </x:row>
    <x:row r="64">
      <x:c r="A64" s="102" t="str">
        <x:v>S6 — Final Validation &amp; Handover</x:v>
      </x:c>
      <x:c r="B64" s="103" t="str">
        <x:v>S6-ALL-01</x:v>
      </x:c>
      <x:c r="C64" s="103" t="str">
        <x:v>[S6-ALL-01] Dry run presentation and adversarial review</x:v>
      </x:c>
      <x:c r="D64" s="103" t="str">
        <x:v>Latihan demo serta Q&amp;A kritis pada metode, data, spatial assumptions, novelty, dan limitation.</x:v>
      </x:c>
      <x:c r="E64" s="103" t="str">
        <x:v>Adzki</x:v>
      </x:c>
      <x:c r="F64" s="103" t="str">
        <x:v>Seluruh Tim</x:v>
      </x:c>
      <x:c r="G64" s="103" t="str">
        <x:v>BACKLOG</x:v>
      </x:c>
      <x:c r="H64" s="103" t="str">
        <x:v>High</x:v>
      </x:c>
      <x:c r="I64" s="104" t="n">
        <x:v>46293</x:v>
      </x:c>
      <x:c r="J64" s="104" t="n">
        <x:v>46299</x:v>
      </x:c>
      <x:c r="K64" s="103" t="str">
        <x:v>QA</x:v>
      </x:c>
      <x:c r="L64" s="103" t="str">
        <x:v>tb-insight;real-data;s6;qa</x:v>
      </x:c>
      <x:c r="M64" s="103" t="str">
        <x:v>S6-VEN-02,S6-STE-02,S6-DAM-01,S6-ERI-01,S6-ADZ-01</x:v>
      </x:c>
      <x:c r="N64" s="105" t="n">
        <x:v>7</x:v>
      </x:c>
      <x:c r="O64" s="103" t="str">
        <x:v>deliverables/final_dry_run_notes.md</x:v>
      </x:c>
      <x:c r="P64" s="103" t="str">
        <x:v>Setiap pertanyaan kritis memiliki jawaban/evidence owner; blocking issue = 0.</x:v>
      </x:c>
      <x:c r="Q64" s="103" t="str"/>
      <x:c r="R64" s="103" t="str">
        <x:v>Medium</x:v>
      </x:c>
      <x:c r="S64" s="106" t="str">
        <x:v>Not Applicable</x:v>
      </x:c>
    </x:row>
    <x:row r="65">
      <x:c r="A65" s="107" t="str">
        <x:v>S6 — Final Validation &amp; Handover</x:v>
      </x:c>
      <x:c r="B65" s="108" t="str">
        <x:v>M6</x:v>
      </x:c>
      <x:c r="C65" s="108" t="str">
        <x:v>[M6] M6 — Final Research Package Sign-off</x:v>
      </x:c>
      <x:c r="D65" s="108" t="str">
        <x:v>Go/no-go final atas data, model, maps, dashboard, manuscript, dan handover.</x:v>
      </x:c>
      <x:c r="E65" s="108" t="str">
        <x:v>Adzki</x:v>
      </x:c>
      <x:c r="F65" s="108" t="str">
        <x:v>Seluruh Tim</x:v>
      </x:c>
      <x:c r="G65" s="108" t="str">
        <x:v>BACKLOG</x:v>
      </x:c>
      <x:c r="H65" s="108" t="str">
        <x:v>Urgent</x:v>
      </x:c>
      <x:c r="I65" s="109" t="n">
        <x:v>46293</x:v>
      </x:c>
      <x:c r="J65" s="109" t="n">
        <x:v>46299</x:v>
      </x:c>
      <x:c r="K65" s="108" t="str">
        <x:v>QA</x:v>
      </x:c>
      <x:c r="L65" s="108" t="str">
        <x:v>tb-insight;real-data;s6;qa</x:v>
      </x:c>
      <x:c r="M65" s="108" t="str">
        <x:v>S6-ALL-01</x:v>
      </x:c>
      <x:c r="N65" s="110" t="n">
        <x:v>5</x:v>
      </x:c>
      <x:c r="O65" s="108" t="str">
        <x:v>deliverables/final_signoff.md</x:v>
      </x:c>
      <x:c r="P65" s="108" t="str">
        <x:v>Lima anggota sign-off; validator PASS; P0/P1 = 0; final package lengkap.</x:v>
      </x:c>
      <x:c r="Q65" s="108" t="str">
        <x:v>M6 Final Research Package</x:v>
      </x:c>
      <x:c r="R65" s="108" t="str">
        <x:v>High</x:v>
      </x:c>
      <x:c r="S65" s="111" t="str">
        <x:v>Frozen</x:v>
      </x:c>
    </x:row>
  </x:sheetData>
  <x:pageMargins left="0.7" right="0.7" top="0.75" bottom="0.75" header="0.3" footer="0.3"/>
  <x:tableParts count="1">
    <x:tablePart xmlns:r="http://schemas.openxmlformats.org/officeDocument/2006/relationships" r:id="Rb1f11a861dc041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12" hidden="0" customWidth="1"/>
    <x:col min="5" max="5" width="40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134" t="str">
        <x:v>TB-INSIGHT — 6-Week Sprint Control Center</x:v>
      </x:c>
      <x:c r="B1" s="114"/>
      <x:c r="C1" s="114"/>
      <x:c r="D1" s="114"/>
      <x:c r="E1" s="114"/>
      <x:c r="F1" s="114"/>
      <x:c r="G1" s="114"/>
      <x:c r="H1" s="115"/>
    </x:row>
    <x:row r="2" ht="28" customHeight="1">
      <x:c r="A2" s="116"/>
      <x:c r="B2" s="117"/>
      <x:c r="C2" s="117"/>
      <x:c r="D2" s="117"/>
      <x:c r="E2" s="117"/>
      <x:c r="F2" s="117"/>
      <x:c r="G2" s="117"/>
      <x:c r="H2" s="118"/>
    </x:row>
    <x:row r="3">
      <x:c r="A3" s="119" t="str">
        <x:v>24 Aug 2026–4 Oct 2026 | Real-data spatio-temporal research | 38 provinces × 24 months</x:v>
      </x:c>
      <x:c r="B3" s="120"/>
      <x:c r="C3" s="120"/>
      <x:c r="D3" s="120"/>
      <x:c r="E3" s="120"/>
      <x:c r="F3" s="120"/>
      <x:c r="G3" s="120"/>
      <x:c r="H3" s="121"/>
    </x:row>
    <x:row r="4">
      <x:c r="A4" s="122"/>
      <x:c r="B4" s="123"/>
      <x:c r="C4" s="123"/>
      <x:c r="D4" s="123"/>
      <x:c r="E4" s="123"/>
      <x:c r="F4" s="123"/>
      <x:c r="G4" s="123"/>
      <x:c r="H4" s="124"/>
    </x:row>
    <x:row r="5" ht="30" customHeight="1">
      <x:c r="A5" s="116" t="str">
        <x:v>Owner</x:v>
      </x:c>
      <x:c r="B5" s="117" t="str">
        <x:v>Role</x:v>
      </x:c>
      <x:c r="C5" s="117" t="str">
        <x:v>Tasks</x:v>
      </x:c>
      <x:c r="D5" s="117" t="str">
        <x:v>Hours</x:v>
      </x:c>
      <x:c r="E5" s="117" t="str">
        <x:v>Primary accountability</x:v>
      </x:c>
      <x:c r="F5" s="117" t="str">
        <x:v>Reviewer pair</x:v>
      </x:c>
      <x:c r="G5" s="117" t="str">
        <x:v>WIP limit</x:v>
      </x:c>
      <x:c r="H5" s="118" t="str">
        <x:v>Final sign-off</x:v>
      </x:c>
    </x:row>
    <x:row r="6">
      <x:c r="A6" s="122" t="str">
        <x:v>Venedict</x:v>
      </x:c>
      <x:c r="B6" s="123" t="str">
        <x:v>Data Scientist — Data/QA Lead</x:v>
      </x:c>
      <x:c r="C6" s="123" t="n">
        <x:f>COUNTIF('ClickUp Import'!$E$2:$E$65,A6)</x:f>
        <x:v>13</x:v>
      </x:c>
      <x:c r="D6" s="123" t="n">
        <x:f>SUMIF('ClickUp Import'!$E$2:$E$65,A6,'ClickUp Import'!$N$2:$N$65)</x:f>
        <x:v>171</x:v>
      </x:c>
      <x:c r="E6" s="123" t="str">
        <x:v>Pipeline, freeze, EDA, feature engineering, reproduction</x:v>
      </x:c>
      <x:c r="F6" s="123" t="str">
        <x:v>Stephen</x:v>
      </x:c>
      <x:c r="G6" s="123" t="n">
        <x:v>2</x:v>
      </x:c>
      <x:c r="H6" s="124" t="str">
        <x:v>Data &amp; reproducibility</x:v>
      </x:c>
    </x:row>
    <x:row r="7">
      <x:c r="A7" s="122" t="str">
        <x:v>Stephen</x:v>
      </x:c>
      <x:c r="B7" s="123" t="str">
        <x:v>Data Scientist — Modeling Lead</x:v>
      </x:c>
      <x:c r="C7" s="123" t="n">
        <x:f>COUNTIF('ClickUp Import'!$E$2:$E$65,A7)</x:f>
        <x:v>14</x:v>
      </x:c>
      <x:c r="D7" s="123" t="n">
        <x:f>SUMIF('ClickUp Import'!$E$2:$E$65,A7,'ClickUp Import'!$N$2:$N$65)</x:f>
        <x:v>173</x:v>
      </x:c>
      <x:c r="E7" s="123" t="str">
        <x:v>Analysis plan, PPML, interactions, sensitivity</x:v>
      </x:c>
      <x:c r="F7" s="123" t="str">
        <x:v>Venedict</x:v>
      </x:c>
      <x:c r="G7" s="123" t="n">
        <x:v>2</x:v>
      </x:c>
      <x:c r="H7" s="124" t="str">
        <x:v>Model validity</x:v>
      </x:c>
    </x:row>
    <x:row r="8">
      <x:c r="A8" s="122" t="str">
        <x:v>Dame</x:v>
      </x:c>
      <x:c r="B8" s="123" t="str">
        <x:v>Spatial Analyst — Spatial Lead</x:v>
      </x:c>
      <x:c r="C8" s="123" t="n">
        <x:f>COUNTIF('ClickUp Import'!$E$2:$E$65,A8)</x:f>
        <x:v>12</x:v>
      </x:c>
      <x:c r="D8" s="123" t="n">
        <x:f>SUMIF('ClickUp Import'!$E$2:$E$65,A8,'ClickUp Import'!$N$2:$N$65)</x:f>
        <x:v>157</x:v>
      </x:c>
      <x:c r="E8" s="123" t="str">
        <x:v>Boundaries, weights, Moran/LISA, maps</x:v>
      </x:c>
      <x:c r="F8" s="123" t="str">
        <x:v>Erin / Stephen</x:v>
      </x:c>
      <x:c r="G8" s="123" t="n">
        <x:v>2</x:v>
      </x:c>
      <x:c r="H8" s="124" t="str">
        <x:v>Spatial validity</x:v>
      </x:c>
    </x:row>
    <x:row r="9">
      <x:c r="A9" s="122" t="str">
        <x:v>Erin</x:v>
      </x:c>
      <x:c r="B9" s="123" t="str">
        <x:v>UI/UX Designer — Product Lead</x:v>
      </x:c>
      <x:c r="C9" s="123" t="n">
        <x:f>COUNTIF('ClickUp Import'!$E$2:$E$65,A9)</x:f>
        <x:v>12</x:v>
      </x:c>
      <x:c r="D9" s="123" t="n">
        <x:f>SUMIF('ClickUp Import'!$E$2:$E$65,A9,'ClickUp Import'!$N$2:$N$65)</x:f>
        <x:v>174</x:v>
      </x:c>
      <x:c r="E9" s="123" t="str">
        <x:v>IA, frontend, provenance UX, usability</x:v>
      </x:c>
      <x:c r="F9" s="123" t="str">
        <x:v>Dame / Venedict</x:v>
      </x:c>
      <x:c r="G9" s="123" t="n">
        <x:v>2</x:v>
      </x:c>
      <x:c r="H9" s="124" t="str">
        <x:v>Product quality</x:v>
      </x:c>
    </x:row>
    <x:row r="10">
      <x:c r="A10" s="122" t="str">
        <x:v>Adzki</x:v>
      </x:c>
      <x:c r="B10" s="123" t="str">
        <x:v>Scientific Writer — Evidence Lead</x:v>
      </x:c>
      <x:c r="C10" s="123" t="n">
        <x:f>COUNTIF('ClickUp Import'!$E$2:$E$65,A10)</x:f>
        <x:v>13</x:v>
      </x:c>
      <x:c r="D10" s="123" t="n">
        <x:f>SUMIF('ClickUp Import'!$E$2:$E$65,A10,'ClickUp Import'!$N$2:$N$65)</x:f>
        <x:v>176</x:v>
      </x:c>
      <x:c r="E10" s="123" t="str">
        <x:v>Literature, manuscript, claims, limitations</x:v>
      </x:c>
      <x:c r="F10" s="123" t="str">
        <x:v>All technical leads</x:v>
      </x:c>
      <x:c r="G10" s="123" t="n">
        <x:v>2</x:v>
      </x:c>
      <x:c r="H10" s="124" t="str">
        <x:v>Scientific narrative</x:v>
      </x:c>
    </x:row>
    <x:row r="11">
      <x:c r="A11" s="122"/>
      <x:c r="B11" s="123"/>
      <x:c r="C11" s="123"/>
      <x:c r="D11" s="123"/>
      <x:c r="E11" s="123"/>
      <x:c r="F11" s="123"/>
      <x:c r="G11" s="123"/>
      <x:c r="H11" s="124"/>
    </x:row>
    <x:row r="12" ht="30" customHeight="1">
      <x:c r="A12" s="116" t="str">
        <x:v>Sprint</x:v>
      </x:c>
      <x:c r="B12" s="117" t="str">
        <x:v>Dates</x:v>
      </x:c>
      <x:c r="C12" s="117" t="str">
        <x:v>Theme</x:v>
      </x:c>
      <x:c r="D12" s="117" t="str">
        <x:v>Exit milestone</x:v>
      </x:c>
      <x:c r="E12" s="117" t="str">
        <x:v>Task count</x:v>
      </x:c>
      <x:c r="F12" s="117" t="str">
        <x:v>Hours</x:v>
      </x:c>
      <x:c r="G12" s="117" t="str">
        <x:v>Primary risk</x:v>
      </x:c>
      <x:c r="H12" s="118" t="str">
        <x:v>Gate owner</x:v>
      </x:c>
    </x:row>
    <x:row r="13">
      <x:c r="A13" s="122" t="str">
        <x:v>S1</x:v>
      </x:c>
      <x:c r="B13" s="123" t="str">
        <x:v>24–30 Aug</x:v>
      </x:c>
      <x:c r="C13" s="123" t="str">
        <x:v>Foundation &amp; Data Freeze</x:v>
      </x:c>
      <x:c r="D13" s="123" t="str">
        <x:v>M1 Data &amp; Question Freeze</x:v>
      </x:c>
      <x:c r="E13" s="123" t="n">
        <x:f>COUNTIF('ClickUp Import'!$A$2:$A$65,"S1 — Foundation &amp; Data Freeze")</x:f>
        <x:v>11</x:v>
      </x:c>
      <x:c r="F13" s="123" t="n">
        <x:f>SUMIF('ClickUp Import'!$A$2:$A$65,"S1 — Foundation &amp; Data Freeze",'ClickUp Import'!$N$2:$N$65)</x:f>
        <x:v>119</x:v>
      </x:c>
      <x:c r="G13" s="123" t="str">
        <x:v>Definition drift</x:v>
      </x:c>
      <x:c r="H13" s="124" t="str">
        <x:v>Venedict</x:v>
      </x:c>
    </x:row>
    <x:row r="14">
      <x:c r="A14" s="122" t="str">
        <x:v>S2</x:v>
      </x:c>
      <x:c r="B14" s="123" t="str">
        <x:v>31 Aug–6 Sep</x:v>
      </x:c>
      <x:c r="C14" s="123" t="str">
        <x:v>EDA &amp; Spatial Foundation</x:v>
      </x:c>
      <x:c r="D14" s="123" t="str">
        <x:v>M2 Descriptive &amp; Spatial Foundation</x:v>
      </x:c>
      <x:c r="E14" s="123" t="n">
        <x:f>COUNTIF('ClickUp Import'!$A$2:$A$65,"S2 — EDA &amp; Spatial Foundation")</x:f>
        <x:v>11</x:v>
      </x:c>
      <x:c r="F14" s="123" t="n">
        <x:f>SUMIF('ClickUp Import'!$A$2:$A$65,"S2 — EDA &amp; Spatial Foundation",'ClickUp Import'!$N$2:$N$65)</x:f>
        <x:v>149</x:v>
      </x:c>
      <x:c r="G14" s="123" t="str">
        <x:v>Count/rate confusion</x:v>
      </x:c>
      <x:c r="H14" s="124" t="str">
        <x:v>Dame</x:v>
      </x:c>
    </x:row>
    <x:row r="15">
      <x:c r="A15" s="122" t="str">
        <x:v>S3</x:v>
      </x:c>
      <x:c r="B15" s="123" t="str">
        <x:v>7–13 Sep</x:v>
      </x:c>
      <x:c r="C15" s="123" t="str">
        <x:v>Climate, Social &amp; Prototype</x:v>
      </x:c>
      <x:c r="D15" s="123" t="str">
        <x:v>M3 Analysis Alpha</x:v>
      </x:c>
      <x:c r="E15" s="123" t="n">
        <x:f>COUNTIF('ClickUp Import'!$A$2:$A$65,"S3 — Climate, Social &amp; Prototype")</x:f>
        <x:v>11</x:v>
      </x:c>
      <x:c r="F15" s="123" t="n">
        <x:f>SUMIF('ClickUp Import'!$A$2:$A$65,"S3 — Climate, Social &amp; Prototype",'ClickUp Import'!$N$2:$N$65)</x:f>
        <x:v>151</x:v>
      </x:c>
      <x:c r="G15" s="123" t="str">
        <x:v>Overfitting</x:v>
      </x:c>
      <x:c r="H15" s="124" t="str">
        <x:v>Stephen</x:v>
      </x:c>
    </x:row>
    <x:row r="16">
      <x:c r="A16" s="122" t="str">
        <x:v>S4</x:v>
      </x:c>
      <x:c r="B16" s="123" t="str">
        <x:v>14–20 Sep</x:v>
      </x:c>
      <x:c r="C16" s="123" t="str">
        <x:v>Sensitivity &amp; Integration</x:v>
      </x:c>
      <x:c r="D16" s="123" t="str">
        <x:v>M4 Analysis Freeze</x:v>
      </x:c>
      <x:c r="E16" s="123" t="n">
        <x:f>COUNTIF('ClickUp Import'!$A$2:$A$65,"S4 — Sensitivity &amp; Integration")</x:f>
        <x:v>11</x:v>
      </x:c>
      <x:c r="F16" s="123" t="n">
        <x:f>SUMIF('ClickUp Import'!$A$2:$A$65,"S4 — Sensitivity &amp; Integration",'ClickUp Import'!$N$2:$N$65)</x:f>
        <x:v>154</x:v>
      </x:c>
      <x:c r="G16" s="123" t="str">
        <x:v>Cross-product mismatch</x:v>
      </x:c>
      <x:c r="H16" s="124" t="str">
        <x:v>Stephen</x:v>
      </x:c>
    </x:row>
    <x:row r="17">
      <x:c r="A17" s="122" t="str">
        <x:v>S5</x:v>
      </x:c>
      <x:c r="B17" s="123" t="str">
        <x:v>21–27 Sep</x:v>
      </x:c>
      <x:c r="C17" s="123" t="str">
        <x:v>Release Candidate</x:v>
      </x:c>
      <x:c r="D17" s="123" t="str">
        <x:v>M5 Release Candidate</x:v>
      </x:c>
      <x:c r="E17" s="123" t="n">
        <x:f>COUNTIF('ClickUp Import'!$A$2:$A$65,"S5 — Release Candidate")</x:f>
        <x:v>11</x:v>
      </x:c>
      <x:c r="F17" s="123" t="n">
        <x:f>SUMIF('ClickUp Import'!$A$2:$A$65,"S5 — Release Candidate",'ClickUp Import'!$N$2:$N$65)</x:f>
        <x:v>160</x:v>
      </x:c>
      <x:c r="G17" s="123" t="str">
        <x:v>Late defects</x:v>
      </x:c>
      <x:c r="H17" s="124" t="str">
        <x:v>Erin</x:v>
      </x:c>
    </x:row>
    <x:row r="18">
      <x:c r="A18" s="122" t="str">
        <x:v>S6</x:v>
      </x:c>
      <x:c r="B18" s="123" t="str">
        <x:v>28 Sep–4 Oct</x:v>
      </x:c>
      <x:c r="C18" s="123" t="str">
        <x:v>Validation &amp; Handover</x:v>
      </x:c>
      <x:c r="D18" s="123" t="str">
        <x:v>M6 Final Research Package</x:v>
      </x:c>
      <x:c r="E18" s="123" t="n">
        <x:f>COUNTIF('ClickUp Import'!$A$2:$A$65,"S6 — Final Validation &amp; Handover")</x:f>
        <x:v>9</x:v>
      </x:c>
      <x:c r="F18" s="123" t="n">
        <x:f>SUMIF('ClickUp Import'!$A$2:$A$65,"S6 — Final Validation &amp; Handover",'ClickUp Import'!$N$2:$N$65)</x:f>
        <x:v>118</x:v>
      </x:c>
      <x:c r="G18" s="123" t="str">
        <x:v>Reproduction failure</x:v>
      </x:c>
      <x:c r="H18" s="124" t="str">
        <x:v>Adzki</x:v>
      </x:c>
    </x:row>
    <x:row r="19">
      <x:c r="A19" s="122"/>
      <x:c r="B19" s="123"/>
      <x:c r="C19" s="123"/>
      <x:c r="D19" s="123"/>
      <x:c r="E19" s="123"/>
      <x:c r="F19" s="123"/>
      <x:c r="G19" s="123"/>
      <x:c r="H19" s="124"/>
    </x:row>
    <x:row r="20">
      <x:c r="A20" s="125" t="str">
        <x:v>NON-NEGOTIABLE RESEARCH GUARDRAILS</x:v>
      </x:c>
      <x:c r="B20" s="126"/>
      <x:c r="C20" s="126"/>
      <x:c r="D20" s="126"/>
      <x:c r="E20" s="126"/>
      <x:c r="F20" s="126"/>
      <x:c r="G20" s="126"/>
      <x:c r="H20" s="127"/>
    </x:row>
    <x:row r="21">
      <x:c r="A21" s="128" t="str">
        <x:v>1</x:v>
      </x:c>
      <x:c r="B21" s="129" t="str">
        <x:v>Outcome = treatment_started, bukan insidensi TB</x:v>
      </x:c>
      <x:c r="C21" s="129" t="str"/>
      <x:c r="D21" s="129" t="str"/>
      <x:c r="E21" s="129" t="str"/>
      <x:c r="F21" s="129" t="str"/>
      <x:c r="G21" s="129" t="str"/>
      <x:c r="H21" s="130" t="str"/>
    </x:row>
    <x:row r="22">
      <x:c r="A22" s="128" t="str">
        <x:v>2</x:v>
      </x:c>
      <x:c r="B22" s="129" t="str">
        <x:v>2025 tetap ditandai provisional; maturity sensitivity wajib</x:v>
      </x:c>
      <x:c r="C22" s="129" t="str"/>
      <x:c r="D22" s="129" t="str"/>
      <x:c r="E22" s="129" t="str"/>
      <x:c r="F22" s="129" t="str"/>
      <x:c r="G22" s="129" t="str"/>
      <x:c r="H22" s="130" t="str"/>
    </x:row>
    <x:row r="23">
      <x:c r="A23" s="128" t="str">
        <x:v>3</x:v>
      </x:c>
      <x:c r="B23" s="129" t="str">
        <x:v>Dua tahun = asosiasi eksploratif; tidak ada causal claim/operational forecasting</x:v>
      </x:c>
      <x:c r="C23" s="129" t="str"/>
      <x:c r="D23" s="129" t="str"/>
      <x:c r="E23" s="129" t="str"/>
      <x:c r="F23" s="129" t="str"/>
      <x:c r="G23" s="129" t="str"/>
      <x:c r="H23" s="130" t="str"/>
    </x:row>
    <x:row r="24">
      <x:c r="A24" s="128" t="str">
        <x:v>4</x:v>
      </x:c>
      <x:c r="B24" s="129" t="str">
        <x:v>Tidak ada angka hardcoded atau data synthetic di product ongoing</x:v>
      </x:c>
      <x:c r="C24" s="129" t="str"/>
      <x:c r="D24" s="129" t="str"/>
      <x:c r="E24" s="129" t="str"/>
      <x:c r="F24" s="129" t="str"/>
      <x:c r="G24" s="129" t="str"/>
      <x:c r="H24" s="130" t="str"/>
    </x:row>
    <x:row r="25">
      <x:c r="A25" s="131" t="str">
        <x:v>5</x:v>
      </x:c>
      <x:c r="B25" s="132" t="str">
        <x:v>Tidak ada output final tanpa reviewer, evidence link, provenance, dan reproducible script</x:v>
      </x:c>
      <x:c r="C25" s="132" t="str"/>
      <x:c r="D25" s="132" t="str"/>
      <x:c r="E25" s="132" t="str"/>
      <x:c r="F25" s="132" t="str"/>
      <x:c r="G25" s="132" t="str"/>
      <x:c r="H25" s="133" t="str"/>
    </x:row>
  </x:sheetData>
  <x:mergeCells>
    <x:mergeCell ref="A1:H2"/>
    <x:mergeCell ref="A3:H3"/>
    <x:mergeCell ref="A20:H20"/>
    <x:mergeCell ref="B21:H21"/>
    <x:mergeCell ref="B22:H22"/>
    <x:mergeCell ref="B23:H23"/>
    <x:mergeCell ref="B24:H24"/>
    <x:mergeCell ref="B25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34" hidden="0" customWidth="1"/>
    <x:col min="5" max="5" width="34" hidden="0" customWidth="1"/>
    <x:col min="6" max="6" width="34" hidden="0" customWidth="1"/>
    <x:col min="7" max="7" width="30" hidden="0" customWidth="1"/>
    <x:col min="8" max="8" width="30" hidden="0" customWidth="1"/>
  </x:cols>
  <x:sheetData>
    <x:row r="1">
      <x:c r="A1" s="140" t="str">
        <x:v>Sprint Calendar &amp; Weekly Exit Criteria</x:v>
      </x:c>
      <x:c r="B1" s="135"/>
      <x:c r="C1" s="135"/>
      <x:c r="D1" s="135"/>
      <x:c r="E1" s="135"/>
      <x:c r="F1" s="135"/>
      <x:c r="G1" s="135"/>
      <x:c r="H1" s="135"/>
    </x:row>
    <x:row r="2">
      <x:c r="A2" s="135"/>
      <x:c r="B2" s="135"/>
      <x:c r="C2" s="135"/>
      <x:c r="D2" s="135"/>
      <x:c r="E2" s="135"/>
      <x:c r="F2" s="135"/>
      <x:c r="G2" s="135"/>
      <x:c r="H2" s="135"/>
    </x:row>
    <x:row r="3">
      <x:c r="A3" s="136"/>
      <x:c r="B3" s="136"/>
      <x:c r="C3" s="136"/>
      <x:c r="D3" s="136"/>
      <x:c r="E3" s="136"/>
      <x:c r="F3" s="136"/>
      <x:c r="G3" s="136"/>
      <x:c r="H3" s="136"/>
    </x:row>
    <x:row r="4">
      <x:c r="A4" s="141" t="str">
        <x:v>Sprint</x:v>
      </x:c>
      <x:c r="B4" s="141" t="str">
        <x:v>Start</x:v>
      </x:c>
      <x:c r="C4" s="141" t="str">
        <x:v>End</x:v>
      </x:c>
      <x:c r="D4" s="141" t="str">
        <x:v>Research focus</x:v>
      </x:c>
      <x:c r="E4" s="141" t="str">
        <x:v>Product focus</x:v>
      </x:c>
      <x:c r="F4" s="141" t="str">
        <x:v>Writing focus</x:v>
      </x:c>
      <x:c r="G4" s="141" t="str">
        <x:v>Exit milestone</x:v>
      </x:c>
      <x:c r="H4" s="141" t="str">
        <x:v>Go/No-Go evidence</x:v>
      </x:c>
    </x:row>
    <x:row r="5" ht="58" customHeight="1">
      <x:c r="A5" s="138" t="str">
        <x:v>S1</x:v>
      </x:c>
      <x:c r="B5" s="139" t="n">
        <x:v>46258</x:v>
      </x:c>
      <x:c r="C5" s="139" t="n">
        <x:v>46264</x:v>
      </x:c>
      <x:c r="D5" s="138" t="str">
        <x:v>Freeze panel, outcome, model, spatial weights</x:v>
      </x:c>
      <x:c r="E5" s="138" t="str">
        <x:v>IA and provenance rules</x:v>
      </x:c>
      <x:c r="F5" s="138" t="str">
        <x:v>Evidence matrix and outline</x:v>
      </x:c>
      <x:c r="G5" s="138" t="str">
        <x:v>M1 Data &amp; Question Freeze</x:v>
      </x:c>
      <x:c r="H5" s="138" t="str">
        <x:v>QA PASS + five-workstream sign-off</x:v>
      </x:c>
    </x:row>
    <x:row r="6" ht="58" customHeight="1">
      <x:c r="A6" s="138" t="str">
        <x:v>S2</x:v>
      </x:c>
      <x:c r="B6" s="139" t="n">
        <x:v>46265</x:v>
      </x:c>
      <x:c r="C6" s="139" t="n">
        <x:v>46271</x:v>
      </x:c>
      <x:c r="D6" s="138" t="str">
        <x:v>EDA, baseline PPML, Moran/LISA</x:v>
      </x:c>
      <x:c r="E6" s="138" t="str">
        <x:v>High-fidelity wireframes and API contract</x:v>
      </x:c>
      <x:c r="F6" s="138" t="str">
        <x:v>Data/Methods + descriptive narrative</x:v>
      </x:c>
      <x:c r="G6" s="138" t="str">
        <x:v>M2 Descriptive &amp; Spatial Foundation</x:v>
      </x:c>
      <x:c r="H6" s="138" t="str">
        <x:v>One source of truth for figures</x:v>
      </x:c>
    </x:row>
    <x:row r="7" ht="58" customHeight="1">
      <x:c r="A7" s="138" t="str">
        <x:v>S3</x:v>
      </x:c>
      <x:c r="B7" s="139" t="n">
        <x:v>46272</x:v>
      </x:c>
      <x:c r="C7" s="139" t="n">
        <x:v>46278</x:v>
      </x:c>
      <x:c r="D7" s="138" t="str">
        <x:v>Climate lags, social interactions, persistence</x:v>
      </x:c>
      <x:c r="E7" s="138" t="str">
        <x:v>Frontend alpha</x:v>
      </x:c>
      <x:c r="F7" s="138" t="str">
        <x:v>Methods revision and Results shell</x:v>
      </x:c>
      <x:c r="G7" s="138" t="str">
        <x:v>M3 Analysis Alpha</x:v>
      </x:c>
      <x:c r="H7" s="138" t="str">
        <x:v>Candidate selected by protocol/robustness</x:v>
      </x:c>
    </x:row>
    <x:row r="8" ht="58" customHeight="1">
      <x:c r="A8" s="138" t="str">
        <x:v>S4</x:v>
      </x:c>
      <x:c r="B8" s="139" t="n">
        <x:v>46279</x:v>
      </x:c>
      <x:c r="C8" s="139" t="n">
        <x:v>46285</x:v>
      </x:c>
      <x:c r="D8" s="138" t="str">
        <x:v>Sensitivity and residual spatial checks</x:v>
      </x:c>
      <x:c r="E8" s="138" t="str">
        <x:v>Real-data integration and accessibility</x:v>
      </x:c>
      <x:c r="F8" s="138" t="str">
        <x:v>Full draft + claim reconciliation</x:v>
      </x:c>
      <x:c r="G8" s="138" t="str">
        <x:v>M4 Analysis Freeze</x:v>
      </x:c>
      <x:c r="H8" s="138" t="str">
        <x:v>Primary numbers frozen and reconciled</x:v>
      </x:c>
    </x:row>
    <x:row r="9" ht="58" customHeight="1">
      <x:c r="A9" s="138" t="str">
        <x:v>S5</x:v>
      </x:c>
      <x:c r="B9" s="139" t="n">
        <x:v>46286</x:v>
      </x:c>
      <x:c r="C9" s="139" t="n">
        <x:v>46292</x:v>
      </x:c>
      <x:c r="D9" s="138" t="str">
        <x:v>Publication tables/maps and robustness</x:v>
      </x:c>
      <x:c r="E9" s="138" t="str">
        <x:v>Usability test and RC</x:v>
      </x:c>
      <x:c r="F9" s="138" t="str">
        <x:v>Manuscript v1 + supplement</x:v>
      </x:c>
      <x:c r="G9" s="138" t="str">
        <x:v>M5 Release Candidate</x:v>
      </x:c>
      <x:c r="H9" s="138" t="str">
        <x:v>P0 = 0; P1 owned</x:v>
      </x:c>
    </x:row>
    <x:row r="10" ht="58" customHeight="1">
      <x:c r="A10" s="138" t="str">
        <x:v>S6</x:v>
      </x:c>
      <x:c r="B10" s="139" t="n">
        <x:v>46293</x:v>
      </x:c>
      <x:c r="C10" s="139" t="n">
        <x:v>46299</x:v>
      </x:c>
      <x:c r="D10" s="138" t="str">
        <x:v>Independent reproduction and sign-off</x:v>
      </x:c>
      <x:c r="E10" s="138" t="str">
        <x:v>E2E QA and handover</x:v>
      </x:c>
      <x:c r="F10" s="138" t="str">
        <x:v>Final manuscript and submission checklist</x:v>
      </x:c>
      <x:c r="G10" s="138" t="str">
        <x:v>M6 Final Package</x:v>
      </x:c>
      <x:c r="H10" s="138" t="str">
        <x:v>All five sign-offs; P0/P1 = 0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38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140" t="str">
        <x:v>Capacity, Ownership &amp; Review Pairing</x:v>
      </x:c>
      <x:c r="B1" s="135"/>
      <x:c r="C1" s="135"/>
      <x:c r="D1" s="135"/>
      <x:c r="E1" s="135"/>
      <x:c r="F1" s="135"/>
      <x:c r="G1" s="135"/>
      <x:c r="H1" s="135"/>
      <x:c r="I1" s="135"/>
      <x:c r="J1" s="135"/>
    </x:row>
    <x:row r="2">
      <x:c r="A2" s="135"/>
      <x:c r="B2" s="135"/>
      <x:c r="C2" s="135"/>
      <x:c r="D2" s="135"/>
      <x:c r="E2" s="135"/>
      <x:c r="F2" s="135"/>
      <x:c r="G2" s="135"/>
      <x:c r="H2" s="135"/>
      <x:c r="I2" s="135"/>
      <x:c r="J2" s="135"/>
    </x:row>
    <x:row r="3">
      <x:c r="A3" s="136"/>
      <x:c r="B3" s="136"/>
      <x:c r="C3" s="136"/>
      <x:c r="D3" s="136"/>
      <x:c r="E3" s="136"/>
      <x:c r="F3" s="136"/>
      <x:c r="G3" s="136"/>
      <x:c r="H3" s="136"/>
      <x:c r="I3" s="136"/>
      <x:c r="J3" s="136"/>
    </x:row>
    <x:row r="4">
      <x:c r="A4" s="141" t="str">
        <x:v>Member</x:v>
      </x:c>
      <x:c r="B4" s="141" t="str">
        <x:v>Role</x:v>
      </x:c>
      <x:c r="C4" s="141" t="str">
        <x:v>Accountable for</x:v>
      </x:c>
      <x:c r="D4" s="141" t="str">
        <x:v>Primary reviewer</x:v>
      </x:c>
      <x:c r="E4" s="141" t="str">
        <x:v>S1 hrs</x:v>
      </x:c>
      <x:c r="F4" s="141" t="str">
        <x:v>S2 hrs</x:v>
      </x:c>
      <x:c r="G4" s="141" t="str">
        <x:v>S3 hrs</x:v>
      </x:c>
      <x:c r="H4" s="141" t="str">
        <x:v>S4 hrs</x:v>
      </x:c>
      <x:c r="I4" s="141" t="str">
        <x:v>S5 hrs</x:v>
      </x:c>
      <x:c r="J4" s="141" t="str">
        <x:v>S6 hrs</x:v>
      </x:c>
    </x:row>
    <x:row r="5" ht="48" customHeight="1">
      <x:c r="A5" s="142" t="str">
        <x:v>Venedict</x:v>
      </x:c>
      <x:c r="B5" s="142" t="str">
        <x:v>Data/QA Lead</x:v>
      </x:c>
      <x:c r="C5" s="142" t="str">
        <x:v>Data freeze, EDA, features, reproducibility</x:v>
      </x:c>
      <x:c r="D5" s="142" t="str">
        <x:v>Stephen</x:v>
      </x:c>
      <x:c r="E5" s="142" t="n">
        <x:f>SUMIFS('ClickUp Import'!$N$2:$N$65,'ClickUp Import'!$E$2:$E$65,$A5,'ClickUp Import'!$A$2:$A$65,"S1 — Foundation &amp; Data Freeze")</x:f>
        <x:v>27</x:v>
      </x:c>
      <x:c r="F5" s="142" t="n">
        <x:f>SUMIFS('ClickUp Import'!$N$2:$N$65,'ClickUp Import'!$E$2:$E$65,$A5,'ClickUp Import'!$A$2:$A$65,"S2 — EDA &amp; Spatial Foundation")</x:f>
        <x:v>30</x:v>
      </x:c>
      <x:c r="G5" s="142" t="n">
        <x:f>SUMIFS('ClickUp Import'!$N$2:$N$65,'ClickUp Import'!$E$2:$E$65,$A5,'ClickUp Import'!$A$2:$A$65,"S3 — Climate, Social &amp; Prototype")</x:f>
        <x:v>28</x:v>
      </x:c>
      <x:c r="H5" s="142" t="n">
        <x:f>SUMIFS('ClickUp Import'!$N$2:$N$65,'ClickUp Import'!$E$2:$E$65,$A5,'ClickUp Import'!$A$2:$A$65,"S4 — Sensitivity &amp; Integration")</x:f>
        <x:v>28</x:v>
      </x:c>
      <x:c r="I5" s="142" t="n">
        <x:f>SUMIFS('ClickUp Import'!$N$2:$N$65,'ClickUp Import'!$E$2:$E$65,$A5,'ClickUp Import'!$A$2:$A$65,"S5 — Release Candidate")</x:f>
        <x:v>32</x:v>
      </x:c>
      <x:c r="J5" s="142" t="n">
        <x:f>SUMIFS('ClickUp Import'!$N$2:$N$65,'ClickUp Import'!$E$2:$E$65,$A5,'ClickUp Import'!$A$2:$A$65,"S6 — Final Validation &amp; Handover")</x:f>
        <x:v>26</x:v>
      </x:c>
    </x:row>
    <x:row r="6" ht="48" customHeight="1">
      <x:c r="A6" s="142" t="str">
        <x:v>Stephen</x:v>
      </x:c>
      <x:c r="B6" s="142" t="str">
        <x:v>Modeling Lead</x:v>
      </x:c>
      <x:c r="C6" s="142" t="str">
        <x:v>Analysis plan, PPML, interactions, sensitivity</x:v>
      </x:c>
      <x:c r="D6" s="142" t="str">
        <x:v>Venedict</x:v>
      </x:c>
      <x:c r="E6" s="142" t="n">
        <x:f>SUMIFS('ClickUp Import'!$N$2:$N$65,'ClickUp Import'!$E$2:$E$65,$A6,'ClickUp Import'!$A$2:$A$65,"S1 — Foundation &amp; Data Freeze")</x:f>
        <x:v>22</x:v>
      </x:c>
      <x:c r="F6" s="142" t="n">
        <x:f>SUMIFS('ClickUp Import'!$N$2:$N$65,'ClickUp Import'!$E$2:$E$65,$A6,'ClickUp Import'!$A$2:$A$65,"S2 — EDA &amp; Spatial Foundation")</x:f>
        <x:v>28</x:v>
      </x:c>
      <x:c r="G6" s="142" t="n">
        <x:f>SUMIFS('ClickUp Import'!$N$2:$N$65,'ClickUp Import'!$E$2:$E$65,$A6,'ClickUp Import'!$A$2:$A$65,"S3 — Climate, Social &amp; Prototype")</x:f>
        <x:v>35</x:v>
      </x:c>
      <x:c r="H6" s="142" t="n">
        <x:f>SUMIFS('ClickUp Import'!$N$2:$N$65,'ClickUp Import'!$E$2:$E$65,$A6,'ClickUp Import'!$A$2:$A$65,"S4 — Sensitivity &amp; Integration")</x:f>
        <x:v>32</x:v>
      </x:c>
      <x:c r="I6" s="142" t="n">
        <x:f>SUMIFS('ClickUp Import'!$N$2:$N$65,'ClickUp Import'!$E$2:$E$65,$A6,'ClickUp Import'!$A$2:$A$65,"S5 — Release Candidate")</x:f>
        <x:v>32</x:v>
      </x:c>
      <x:c r="J6" s="142" t="n">
        <x:f>SUMIFS('ClickUp Import'!$N$2:$N$65,'ClickUp Import'!$E$2:$E$65,$A6,'ClickUp Import'!$A$2:$A$65,"S6 — Final Validation &amp; Handover")</x:f>
        <x:v>24</x:v>
      </x:c>
    </x:row>
    <x:row r="7" ht="48" customHeight="1">
      <x:c r="A7" s="142" t="str">
        <x:v>Dame</x:v>
      </x:c>
      <x:c r="B7" s="142" t="str">
        <x:v>Spatial Lead</x:v>
      </x:c>
      <x:c r="C7" s="142" t="str">
        <x:v>Weights, Moran/LISA, hotspot, cartography</x:v>
      </x:c>
      <x:c r="D7" s="142" t="str">
        <x:v>Erin / Stephen</x:v>
      </x:c>
      <x:c r="E7" s="142" t="n">
        <x:f>SUMIFS('ClickUp Import'!$N$2:$N$65,'ClickUp Import'!$E$2:$E$65,$A7,'ClickUp Import'!$A$2:$A$65,"S1 — Foundation &amp; Data Freeze")</x:f>
        <x:v>20</x:v>
      </x:c>
      <x:c r="F7" s="142" t="n">
        <x:f>SUMIFS('ClickUp Import'!$N$2:$N$65,'ClickUp Import'!$E$2:$E$65,$A7,'ClickUp Import'!$A$2:$A$65,"S2 — EDA &amp; Spatial Foundation")</x:f>
        <x:v>35</x:v>
      </x:c>
      <x:c r="G7" s="142" t="n">
        <x:f>SUMIFS('ClickUp Import'!$N$2:$N$65,'ClickUp Import'!$E$2:$E$65,$A7,'ClickUp Import'!$A$2:$A$65,"S3 — Climate, Social &amp; Prototype")</x:f>
        <x:v>30</x:v>
      </x:c>
      <x:c r="H7" s="142" t="n">
        <x:f>SUMIFS('ClickUp Import'!$N$2:$N$65,'ClickUp Import'!$E$2:$E$65,$A7,'ClickUp Import'!$A$2:$A$65,"S4 — Sensitivity &amp; Integration")</x:f>
        <x:v>26</x:v>
      </x:c>
      <x:c r="I7" s="142" t="n">
        <x:f>SUMIFS('ClickUp Import'!$N$2:$N$65,'ClickUp Import'!$E$2:$E$65,$A7,'ClickUp Import'!$A$2:$A$65,"S5 — Release Candidate")</x:f>
        <x:v>30</x:v>
      </x:c>
      <x:c r="J7" s="142" t="n">
        <x:f>SUMIFS('ClickUp Import'!$N$2:$N$65,'ClickUp Import'!$E$2:$E$65,$A7,'ClickUp Import'!$A$2:$A$65,"S6 — Final Validation &amp; Handover")</x:f>
        <x:v>16</x:v>
      </x:c>
    </x:row>
    <x:row r="8" ht="48" customHeight="1">
      <x:c r="A8" s="142" t="str">
        <x:v>Erin</x:v>
      </x:c>
      <x:c r="B8" s="142" t="str">
        <x:v>Product Lead</x:v>
      </x:c>
      <x:c r="C8" s="142" t="str">
        <x:v>IA, frontend, integration, usability</x:v>
      </x:c>
      <x:c r="D8" s="142" t="str">
        <x:v>Dame / Venedict</x:v>
      </x:c>
      <x:c r="E8" s="142" t="n">
        <x:f>SUMIFS('ClickUp Import'!$N$2:$N$65,'ClickUp Import'!$E$2:$E$65,$A8,'ClickUp Import'!$A$2:$A$65,"S1 — Foundation &amp; Data Freeze")</x:f>
        <x:v>22</x:v>
      </x:c>
      <x:c r="F8" s="142" t="n">
        <x:f>SUMIFS('ClickUp Import'!$N$2:$N$65,'ClickUp Import'!$E$2:$E$65,$A8,'ClickUp Import'!$A$2:$A$65,"S2 — EDA &amp; Spatial Foundation")</x:f>
        <x:v>30</x:v>
      </x:c>
      <x:c r="G8" s="142" t="n">
        <x:f>SUMIFS('ClickUp Import'!$N$2:$N$65,'ClickUp Import'!$E$2:$E$65,$A8,'ClickUp Import'!$A$2:$A$65,"S3 — Climate, Social &amp; Prototype")</x:f>
        <x:v>34</x:v>
      </x:c>
      <x:c r="H8" s="142" t="n">
        <x:f>SUMIFS('ClickUp Import'!$N$2:$N$65,'ClickUp Import'!$E$2:$E$65,$A8,'ClickUp Import'!$A$2:$A$65,"S4 — Sensitivity &amp; Integration")</x:f>
        <x:v>34</x:v>
      </x:c>
      <x:c r="I8" s="142" t="n">
        <x:f>SUMIFS('ClickUp Import'!$N$2:$N$65,'ClickUp Import'!$E$2:$E$65,$A8,'ClickUp Import'!$A$2:$A$65,"S5 — Release Candidate")</x:f>
        <x:v>34</x:v>
      </x:c>
      <x:c r="J8" s="142" t="n">
        <x:f>SUMIFS('ClickUp Import'!$N$2:$N$65,'ClickUp Import'!$E$2:$E$65,$A8,'ClickUp Import'!$A$2:$A$65,"S6 — Final Validation &amp; Handover")</x:f>
        <x:v>20</x:v>
      </x:c>
    </x:row>
    <x:row r="9" ht="48" customHeight="1">
      <x:c r="A9" s="142" t="str">
        <x:v>Adzki</x:v>
      </x:c>
      <x:c r="B9" s="142" t="str">
        <x:v>Evidence Lead</x:v>
      </x:c>
      <x:c r="C9" s="142" t="str">
        <x:v>Literature, manuscript, claim/limitation audit</x:v>
      </x:c>
      <x:c r="D9" s="142" t="str">
        <x:v>All technical leads</x:v>
      </x:c>
      <x:c r="E9" s="142" t="n">
        <x:f>SUMIFS('ClickUp Import'!$N$2:$N$65,'ClickUp Import'!$E$2:$E$65,$A9,'ClickUp Import'!$A$2:$A$65,"S1 — Foundation &amp; Data Freeze")</x:f>
        <x:v>28</x:v>
      </x:c>
      <x:c r="F9" s="142" t="n">
        <x:f>SUMIFS('ClickUp Import'!$N$2:$N$65,'ClickUp Import'!$E$2:$E$65,$A9,'ClickUp Import'!$A$2:$A$65,"S2 — EDA &amp; Spatial Foundation")</x:f>
        <x:v>26</x:v>
      </x:c>
      <x:c r="G9" s="142" t="n">
        <x:f>SUMIFS('ClickUp Import'!$N$2:$N$65,'ClickUp Import'!$E$2:$E$65,$A9,'ClickUp Import'!$A$2:$A$65,"S3 — Climate, Social &amp; Prototype")</x:f>
        <x:v>24</x:v>
      </x:c>
      <x:c r="H9" s="142" t="n">
        <x:f>SUMIFS('ClickUp Import'!$N$2:$N$65,'ClickUp Import'!$E$2:$E$65,$A9,'ClickUp Import'!$A$2:$A$65,"S4 — Sensitivity &amp; Integration")</x:f>
        <x:v>34</x:v>
      </x:c>
      <x:c r="I9" s="142" t="n">
        <x:f>SUMIFS('ClickUp Import'!$N$2:$N$65,'ClickUp Import'!$E$2:$E$65,$A9,'ClickUp Import'!$A$2:$A$65,"S5 — Release Candidate")</x:f>
        <x:v>32</x:v>
      </x:c>
      <x:c r="J9" s="142" t="n">
        <x:f>SUMIFS('ClickUp Import'!$N$2:$N$65,'ClickUp Import'!$E$2:$E$65,$A9,'ClickUp Import'!$A$2:$A$65,"S6 — Final Validation &amp; Handover")</x:f>
        <x:v>32</x:v>
      </x:c>
    </x:row>
    <x:row r="10">
      <x:c r="A10" s="142"/>
      <x:c r="B10" s="142"/>
      <x:c r="C10" s="142"/>
      <x:c r="D10" s="142"/>
      <x:c r="E10" s="142"/>
      <x:c r="F10" s="142"/>
      <x:c r="G10" s="142"/>
      <x:c r="H10" s="142"/>
      <x:c r="I10" s="142"/>
      <x:c r="J10" s="142"/>
    </x:row>
    <x:row r="11">
      <x:c r="A11" s="141" t="str">
        <x:v>Workstream</x:v>
      </x:c>
      <x:c r="B11" s="141" t="str">
        <x:v>Venedict</x:v>
      </x:c>
      <x:c r="C11" s="141" t="str">
        <x:v>Stephen</x:v>
      </x:c>
      <x:c r="D11" s="141" t="str">
        <x:v>Dame</x:v>
      </x:c>
      <x:c r="E11" s="141" t="str">
        <x:v>Erin</x:v>
      </x:c>
      <x:c r="F11" s="141" t="str">
        <x:v>Adzki</x:v>
      </x:c>
      <x:c r="G11" s="141" t="str">
        <x:v>Rule</x:v>
      </x:c>
      <x:c r="H11" s="141" t="str">
        <x:v>Required reviewer</x:v>
      </x:c>
      <x:c r="I11" s="141" t="str">
        <x:v>Evidence</x:v>
      </x:c>
      <x:c r="J11" s="142"/>
    </x:row>
    <x:row r="12" ht="40" customHeight="1">
      <x:c r="A12" s="142" t="str">
        <x:v>Data &amp; QA</x:v>
      </x:c>
      <x:c r="B12" s="142" t="str">
        <x:v>A/R</x:v>
      </x:c>
      <x:c r="C12" s="142" t="str">
        <x:v>C</x:v>
      </x:c>
      <x:c r="D12" s="142" t="str">
        <x:v>C</x:v>
      </x:c>
      <x:c r="E12" s="142" t="str">
        <x:v>C</x:v>
      </x:c>
      <x:c r="F12" s="142" t="str">
        <x:v>C</x:v>
      </x:c>
      <x:c r="G12" s="142" t="str">
        <x:v>Raw immutable</x:v>
      </x:c>
      <x:c r="H12" s="142" t="str">
        <x:v>Stephen</x:v>
      </x:c>
      <x:c r="I12" s="142" t="str">
        <x:v>QA report + checksum</x:v>
      </x:c>
      <x:c r="J12" s="142"/>
    </x:row>
    <x:row r="13" ht="40" customHeight="1">
      <x:c r="A13" s="142" t="str">
        <x:v>Modeling</x:v>
      </x:c>
      <x:c r="B13" s="142" t="str">
        <x:v>C/R</x:v>
      </x:c>
      <x:c r="C13" s="142" t="str">
        <x:v>A/R</x:v>
      </x:c>
      <x:c r="D13" s="142" t="str">
        <x:v>C</x:v>
      </x:c>
      <x:c r="E13" s="142" t="str">
        <x:v>I</x:v>
      </x:c>
      <x:c r="F13" s="142" t="str">
        <x:v>C</x:v>
      </x:c>
      <x:c r="G13" s="142" t="str">
        <x:v>Pre-specified</x:v>
      </x:c>
      <x:c r="H13" s="142" t="str">
        <x:v>Venedict</x:v>
      </x:c>
      <x:c r="I13" s="142" t="str">
        <x:v>Model script + diagnostics</x:v>
      </x:c>
      <x:c r="J13" s="142"/>
    </x:row>
    <x:row r="14" ht="40" customHeight="1">
      <x:c r="A14" s="142" t="str">
        <x:v>Spatial</x:v>
      </x:c>
      <x:c r="B14" s="142" t="str">
        <x:v>C</x:v>
      </x:c>
      <x:c r="C14" s="142" t="str">
        <x:v>C</x:v>
      </x:c>
      <x:c r="D14" s="142" t="str">
        <x:v>A/R</x:v>
      </x:c>
      <x:c r="E14" s="142" t="str">
        <x:v>C</x:v>
      </x:c>
      <x:c r="F14" s="142" t="str">
        <x:v>I</x:v>
      </x:c>
      <x:c r="G14" s="142" t="str">
        <x:v>Versioned weights</x:v>
      </x:c>
      <x:c r="H14" s="142" t="str">
        <x:v>Stephen</x:v>
      </x:c>
      <x:c r="I14" s="142" t="str">
        <x:v>Weights + map manifest</x:v>
      </x:c>
      <x:c r="J14" s="142"/>
    </x:row>
    <x:row r="15" ht="40" customHeight="1">
      <x:c r="A15" s="142" t="str">
        <x:v>Product</x:v>
      </x:c>
      <x:c r="B15" s="142" t="str">
        <x:v>C</x:v>
      </x:c>
      <x:c r="C15" s="142" t="str">
        <x:v>I</x:v>
      </x:c>
      <x:c r="D15" s="142" t="str">
        <x:v>C/R</x:v>
      </x:c>
      <x:c r="E15" s="142" t="str">
        <x:v>A/R</x:v>
      </x:c>
      <x:c r="F15" s="142" t="str">
        <x:v>C</x:v>
      </x:c>
      <x:c r="G15" s="142" t="str">
        <x:v>No hardcoded values</x:v>
      </x:c>
      <x:c r="H15" s="142" t="str">
        <x:v>Venedict</x:v>
      </x:c>
      <x:c r="I15" s="142" t="str">
        <x:v>Test + provenance</x:v>
      </x:c>
      <x:c r="J15" s="142"/>
    </x:row>
    <x:row r="16" ht="40" customHeight="1">
      <x:c r="A16" s="142" t="str">
        <x:v>Scientific writing</x:v>
      </x:c>
      <x:c r="B16" s="142" t="str">
        <x:v>C</x:v>
      </x:c>
      <x:c r="C16" s="142" t="str">
        <x:v>C</x:v>
      </x:c>
      <x:c r="D16" s="142" t="str">
        <x:v>C</x:v>
      </x:c>
      <x:c r="E16" s="142" t="str">
        <x:v>C</x:v>
      </x:c>
      <x:c r="F16" s="142" t="str">
        <x:v>A/R</x:v>
      </x:c>
      <x:c r="G16" s="142" t="str">
        <x:v>Claim-output link</x:v>
      </x:c>
      <x:c r="H16" s="142" t="str">
        <x:v>Relevant lead</x:v>
      </x:c>
      <x:c r="I16" s="142" t="str">
        <x:v>Claim audit</x:v>
      </x:c>
      <x:c r="J16" s="142"/>
    </x:row>
    <x:row r="17" ht="40" customHeight="1">
      <x:c r="A17" s="142" t="str">
        <x:v>Final release</x:v>
      </x:c>
      <x:c r="B17" s="142" t="str">
        <x:v>R</x:v>
      </x:c>
      <x:c r="C17" s="142" t="str">
        <x:v>R</x:v>
      </x:c>
      <x:c r="D17" s="142" t="str">
        <x:v>R</x:v>
      </x:c>
      <x:c r="E17" s="142" t="str">
        <x:v>R</x:v>
      </x:c>
      <x:c r="F17" s="142" t="str">
        <x:v>A</x:v>
      </x:c>
      <x:c r="G17" s="142" t="str">
        <x:v>Five sign-offs</x:v>
      </x:c>
      <x:c r="H17" s="142" t="str">
        <x:v>Seluruh tim</x:v>
      </x:c>
      <x:c r="I17" s="142" t="str">
        <x:v>M6 sign-off</x:v>
      </x:c>
      <x:c r="J17" s="142"/>
    </x:row>
  </x:sheetData>
  <x:mergeCells>
    <x:mergeCell ref="A1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</x:cols>
  <x:sheetData>
    <x:row r="1">
      <x:c r="A1" s="140" t="str">
        <x:v>Quality Gates &amp; Definition of Done</x:v>
      </x:c>
      <x:c r="B1" s="135"/>
      <x:c r="C1" s="135"/>
      <x:c r="D1" s="135"/>
      <x:c r="E1" s="135"/>
      <x:c r="F1" s="135"/>
      <x:c r="G1" s="135"/>
    </x:row>
    <x:row r="2">
      <x:c r="A2" s="135"/>
      <x:c r="B2" s="135"/>
      <x:c r="C2" s="135"/>
      <x:c r="D2" s="135"/>
      <x:c r="E2" s="135"/>
      <x:c r="F2" s="135"/>
      <x:c r="G2" s="135"/>
    </x:row>
    <x:row r="3">
      <x:c r="A3" s="136"/>
      <x:c r="B3" s="136"/>
      <x:c r="C3" s="136"/>
      <x:c r="D3" s="136"/>
      <x:c r="E3" s="136"/>
      <x:c r="F3" s="136"/>
      <x:c r="G3" s="136"/>
    </x:row>
    <x:row r="4">
      <x:c r="A4" s="141" t="str">
        <x:v>Gate</x:v>
      </x:c>
      <x:c r="B4" s="141" t="str">
        <x:v>When</x:v>
      </x:c>
      <x:c r="C4" s="141" t="str">
        <x:v>Owner</x:v>
      </x:c>
      <x:c r="D4" s="141" t="str">
        <x:v>Required evidence</x:v>
      </x:c>
      <x:c r="E4" s="141" t="str">
        <x:v>Pass criteria</x:v>
      </x:c>
      <x:c r="F4" s="141" t="str">
        <x:v>If failed</x:v>
      </x:c>
      <x:c r="G4" s="141" t="str">
        <x:v>Status</x:v>
      </x:c>
    </x:row>
    <x:row r="5" ht="55" customHeight="1">
      <x:c r="A5" s="142" t="str">
        <x:v>M1</x:v>
      </x:c>
      <x:c r="B5" s="143" t="n">
        <x:v>46264</x:v>
      </x:c>
      <x:c r="C5" s="142" t="str">
        <x:v>Venedict</x:v>
      </x:c>
      <x:c r="D5" s="142" t="str">
        <x:v>QA, checksums, plan, weights memo, UX rules, outline</x:v>
      </x:c>
      <x:c r="E5" s="142" t="str">
        <x:v>Five workstreams sign; required data checks PASS</x:v>
      </x:c>
      <x:c r="F5" s="142" t="str">
        <x:v>Do not start inferential expansion</x:v>
      </x:c>
      <x:c r="G5" s="142" t="str">
        <x:v>Planned</x:v>
      </x:c>
    </x:row>
    <x:row r="6" ht="55" customHeight="1">
      <x:c r="A6" s="142" t="str">
        <x:v>M2</x:v>
      </x:c>
      <x:c r="B6" s="143" t="n">
        <x:v>46271</x:v>
      </x:c>
      <x:c r="C6" s="142" t="str">
        <x:v>Dame</x:v>
      </x:c>
      <x:c r="D6" s="142" t="str">
        <x:v>EDA, baseline, weights/LISA, wireframes, Methods</x:v>
      </x:c>
      <x:c r="E6" s="142" t="str">
        <x:v>Same output source across table/map/UI/text</x:v>
      </x:c>
      <x:c r="F6" s="142" t="str">
        <x:v>Reconcile before S3 models</x:v>
      </x:c>
      <x:c r="G6" s="142" t="str">
        <x:v>Planned</x:v>
      </x:c>
    </x:row>
    <x:row r="7" ht="55" customHeight="1">
      <x:c r="A7" s="142" t="str">
        <x:v>M3</x:v>
      </x:c>
      <x:c r="B7" s="143" t="n">
        <x:v>46278</x:v>
      </x:c>
      <x:c r="C7" s="142" t="str">
        <x:v>Stephen</x:v>
      </x:c>
      <x:c r="D7" s="142" t="str">
        <x:v>Lag/interactions, persistence, alpha, claim audit</x:v>
      </x:c>
      <x:c r="E7" s="142" t="str">
        <x:v>Candidate selected by protocol and robustness</x:v>
      </x:c>
      <x:c r="F7" s="142" t="str">
        <x:v>Reduce model scope</x:v>
      </x:c>
      <x:c r="G7" s="142" t="str">
        <x:v>Planned</x:v>
      </x:c>
    </x:row>
    <x:row r="8" ht="55" customHeight="1">
      <x:c r="A8" s="142" t="str">
        <x:v>M4</x:v>
      </x:c>
      <x:c r="B8" s="143" t="n">
        <x:v>46285</x:v>
      </x:c>
      <x:c r="C8" s="142" t="str">
        <x:v>Stephen</x:v>
      </x:c>
      <x:c r="D8" s="142" t="str">
        <x:v>Sensitivity, residual Moran, manifest, integrated UI, draft</x:v>
      </x:c>
      <x:c r="E8" s="142" t="str">
        <x:v>Primary numbers frozen and reconciled</x:v>
      </x:c>
      <x:c r="F8" s="142" t="str">
        <x:v>No RC until mismatch = 0</x:v>
      </x:c>
      <x:c r="G8" s="142" t="str">
        <x:v>Planned</x:v>
      </x:c>
    </x:row>
    <x:row r="9" ht="55" customHeight="1">
      <x:c r="A9" s="142" t="str">
        <x:v>M5</x:v>
      </x:c>
      <x:c r="B9" s="143" t="n">
        <x:v>46292</x:v>
      </x:c>
      <x:c r="C9" s="142" t="str">
        <x:v>Erin</x:v>
      </x:c>
      <x:c r="D9" s="142" t="str">
        <x:v>Release pipeline, pub outputs, usability, manuscript v1</x:v>
      </x:c>
      <x:c r="E9" s="142" t="str">
        <x:v>P0 = 0; P1 has owner</x:v>
      </x:c>
      <x:c r="F9" s="142" t="str">
        <x:v>RC remains internal</x:v>
      </x:c>
      <x:c r="G9" s="142" t="str">
        <x:v>Planned</x:v>
      </x:c>
    </x:row>
    <x:row r="10" ht="55" customHeight="1">
      <x:c r="A10" s="142" t="str">
        <x:v>M6</x:v>
      </x:c>
      <x:c r="B10" s="143" t="n">
        <x:v>46299</x:v>
      </x:c>
      <x:c r="C10" s="142" t="str">
        <x:v>Adzki</x:v>
      </x:c>
      <x:c r="D10" s="142" t="str">
        <x:v>Independent rerun, E2E QA, final manuscript, handover</x:v>
      </x:c>
      <x:c r="E10" s="142" t="str">
        <x:v>Five sign-offs; P0/P1 = 0</x:v>
      </x:c>
      <x:c r="F10" s="142" t="str">
        <x:v>No external release</x:v>
      </x:c>
      <x:c r="G10" s="142" t="str">
        <x:v>Planned</x:v>
      </x:c>
    </x:row>
    <x:row r="11">
      <x:c r="A11" s="142"/>
      <x:c r="B11" s="142"/>
      <x:c r="C11" s="142"/>
      <x:c r="D11" s="142"/>
      <x:c r="E11" s="142"/>
      <x:c r="F11" s="142"/>
      <x:c r="G11" s="142"/>
    </x:row>
    <x:row r="12">
      <x:c r="A12" s="144" t="str">
        <x:v>Definition of Done</x:v>
      </x:c>
      <x:c r="B12" s="144" t="str">
        <x:v>Owner + reviewer</x:v>
      </x:c>
      <x:c r="C12" s="144" t="str">
        <x:v>Reproducible</x:v>
      </x:c>
      <x:c r="D12" s="144" t="str">
        <x:v>Provenance</x:v>
      </x:c>
      <x:c r="E12" s="144" t="str">
        <x:v>Scientific wording</x:v>
      </x:c>
      <x:c r="F12" s="144" t="str">
        <x:v>Product integrity</x:v>
      </x:c>
      <x:c r="G12" s="144" t="str">
        <x:v>Evidence</x:v>
      </x:c>
    </x:row>
    <x:row r="13" ht="42" customHeight="1">
      <x:c r="A13" s="142" t="str">
        <x:v>Output exists</x:v>
      </x:c>
      <x:c r="B13" s="142" t="str">
        <x:v>Both assigned</x:v>
      </x:c>
      <x:c r="C13" s="142" t="str">
        <x:v>Script reruns</x:v>
      </x:c>
      <x:c r="D13" s="142" t="str">
        <x:v>Source/version/unit/period</x:v>
      </x:c>
      <x:c r="E13" s="142" t="str">
        <x:v>Fact ≠ interpretation ≠ hypothesis</x:v>
      </x:c>
      <x:c r="F13" s="142" t="str">
        <x:v>No synthetic/hardcoded number</x:v>
      </x:c>
      <x:c r="G13" s="142" t="str">
        <x:v>Evidence link</x:v>
      </x:c>
    </x:row>
    <x:row r="14" ht="42" customHeight="1">
      <x:c r="A14" s="142" t="str">
        <x:v>QA complete</x:v>
      </x:c>
      <x:c r="B14" s="142" t="str">
        <x:v>Reviewer sign-off</x:v>
      </x:c>
      <x:c r="C14" s="142" t="str">
        <x:v>Seed/environment recorded</x:v>
      </x:c>
      <x:c r="D14" s="142" t="str">
        <x:v>2025 provisional marked</x:v>
      </x:c>
      <x:c r="E14" s="142" t="str">
        <x:v>No causal overclaim</x:v>
      </x:c>
      <x:c r="F14" s="142" t="str">
        <x:v>Error/empty states safe</x:v>
      </x:c>
      <x:c r="G14" s="142" t="str">
        <x:v>QA report</x:v>
      </x:c>
    </x:row>
    <x:row r="15" ht="42" customHeight="1">
      <x:c r="A15" s="142" t="str">
        <x:v>Docs current</x:v>
      </x:c>
      <x:c r="B15" s="142" t="str">
        <x:v>Dependency closed</x:v>
      </x:c>
      <x:c r="C15" s="142" t="str">
        <x:v>README command works</x:v>
      </x:c>
      <x:c r="D15" s="142" t="str">
        <x:v>Source ledger updated</x:v>
      </x:c>
      <x:c r="E15" s="142" t="str">
        <x:v>Outcome named correctly</x:v>
      </x:c>
      <x:c r="F15" s="142" t="str">
        <x:v>Methods visible</x:v>
      </x:c>
      <x:c r="G15" s="142" t="str">
        <x:v>Decision log</x:v>
      </x:c>
    </x:row>
    <x:row r="16" ht="42" customHeight="1">
      <x:c r="A16" s="142" t="str">
        <x:v>Figures ready</x:v>
      </x:c>
      <x:c r="B16" s="142" t="str">
        <x:v>Spatial/model review</x:v>
      </x:c>
      <x:c r="C16" s="142" t="str">
        <x:v>Generation script linked</x:v>
      </x:c>
      <x:c r="D16" s="142" t="str">
        <x:v>Figure source note</x:v>
      </x:c>
      <x:c r="E16" s="142" t="str">
        <x:v>Uncertainty visible</x:v>
      </x:c>
      <x:c r="F16" s="142" t="str">
        <x:v>Accessible legend/alt text</x:v>
      </x:c>
      <x:c r="G16" s="142" t="str">
        <x:v>Figure manifest</x:v>
      </x:c>
    </x:row>
    <x:row r="17" ht="42" customHeight="1">
      <x:c r="A17" s="142" t="str">
        <x:v>Numbers reconciled</x:v>
      </x:c>
      <x:c r="B17" s="142" t="str">
        <x:v>Writer + technical lead</x:v>
      </x:c>
      <x:c r="C17" s="142" t="str">
        <x:v>Output manifest ID</x:v>
      </x:c>
      <x:c r="D17" s="142" t="str">
        <x:v>Same source of truth</x:v>
      </x:c>
      <x:c r="E17" s="142" t="str">
        <x:v>Limitations co-located</x:v>
      </x:c>
      <x:c r="F17" s="142" t="str">
        <x:v>UI = manuscript</x:v>
      </x:c>
      <x:c r="G17" s="142" t="str">
        <x:v>Claim audit</x:v>
      </x:c>
    </x:row>
    <x:row r="18" ht="42" customHeight="1">
      <x:c r="A18" s="142" t="str">
        <x:v>Release safe</x:v>
      </x:c>
      <x:c r="B18" s="142" t="str">
        <x:v>Five sign-offs</x:v>
      </x:c>
      <x:c r="C18" s="142" t="str">
        <x:v>Independent clean rerun</x:v>
      </x:c>
      <x:c r="D18" s="142" t="str">
        <x:v>Licensed raw excluded</x:v>
      </x:c>
      <x:c r="E18" s="142" t="str">
        <x:v>Scope boundaries stated</x:v>
      </x:c>
      <x:c r="F18" s="142" t="str">
        <x:v>P0/P1 = 0</x:v>
      </x:c>
      <x:c r="G18" s="142" t="str">
        <x:v>M6 sign-off</x:v>
      </x:c>
    </x:row>
  </x:sheetData>
  <x:mergeCells>
    <x:mergeCell ref="A1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40" t="str">
        <x:v>Risk Register &amp; Scope Protection</x:v>
      </x:c>
      <x:c r="B1" s="135"/>
      <x:c r="C1" s="135"/>
      <x:c r="D1" s="135"/>
      <x:c r="E1" s="135"/>
      <x:c r="F1" s="135"/>
      <x:c r="G1" s="135"/>
    </x:row>
    <x:row r="2">
      <x:c r="A2" s="135"/>
      <x:c r="B2" s="135"/>
      <x:c r="C2" s="135"/>
      <x:c r="D2" s="135"/>
      <x:c r="E2" s="135"/>
      <x:c r="F2" s="135"/>
      <x:c r="G2" s="135"/>
    </x:row>
    <x:row r="3">
      <x:c r="A3" s="136"/>
      <x:c r="B3" s="136"/>
      <x:c r="C3" s="136"/>
      <x:c r="D3" s="136"/>
      <x:c r="E3" s="136"/>
      <x:c r="F3" s="136"/>
      <x:c r="G3" s="136"/>
    </x:row>
    <x:row r="4">
      <x:c r="A4" s="141" t="str">
        <x:v>Risk</x:v>
      </x:c>
      <x:c r="B4" s="141" t="str">
        <x:v>Probability</x:v>
      </x:c>
      <x:c r="C4" s="141" t="str">
        <x:v>Impact</x:v>
      </x:c>
      <x:c r="D4" s="141" t="str">
        <x:v>Early signal</x:v>
      </x:c>
      <x:c r="E4" s="141" t="str">
        <x:v>Mitigation</x:v>
      </x:c>
      <x:c r="F4" s="141" t="str">
        <x:v>Owner</x:v>
      </x:c>
      <x:c r="G4" s="141" t="str">
        <x:v>Escalation trigger</x:v>
      </x:c>
    </x:row>
    <x:row r="5" ht="62" customHeight="1">
      <x:c r="A5" s="142" t="str">
        <x:v>Only 24 months</x:v>
      </x:c>
      <x:c r="B5" s="142" t="str">
        <x:v>High</x:v>
      </x:c>
      <x:c r="C5" s="142" t="str">
        <x:v>High</x:v>
      </x:c>
      <x:c r="D5" s="142" t="str">
        <x:v>Unstable season/lag estimates</x:v>
      </x:c>
      <x:c r="E5" s="142" t="str">
        <x:v>Limit lag 0–3; exploratory association; no operational forecast</x:v>
      </x:c>
      <x:c r="F5" s="142" t="str">
        <x:v>Stephen / Adzki</x:v>
      </x:c>
      <x:c r="G5" s="142" t="str">
        <x:v>Model conclusions change across simple sensitivity</x:v>
      </x:c>
    </x:row>
    <x:row r="6" ht="62" customHeight="1">
      <x:c r="A6" s="142" t="str">
        <x:v>2025 provisional</x:v>
      </x:c>
      <x:c r="B6" s="142" t="str">
        <x:v>High</x:v>
      </x:c>
      <x:c r="C6" s="142" t="str">
        <x:v>High</x:v>
      </x:c>
      <x:c r="D6" s="142" t="str">
        <x:v>Outcome_pending or maturity pattern</x:v>
      </x:c>
      <x:c r="E6" s="142" t="str">
        <x:v>Visible flag + maturity sensitivity</x:v>
      </x:c>
      <x:c r="F6" s="142" t="str">
        <x:v>Venedict / Erin</x:v>
      </x:c>
      <x:c r="G6" s="142" t="str">
        <x:v>Primary conclusion depends only on provisional period</x:v>
      </x:c>
    </x:row>
    <x:row r="7" ht="62" customHeight="1">
      <x:c r="A7" s="142" t="str">
        <x:v>Outcome called incidence</x:v>
      </x:c>
      <x:c r="B7" s="142" t="str">
        <x:v>Medium</x:v>
      </x:c>
      <x:c r="C7" s="142" t="str">
        <x:v>High</x:v>
      </x:c>
      <x:c r="D7" s="142" t="str">
        <x:v>Wrong term in UI/table/text</x:v>
      </x:c>
      <x:c r="E7" s="142" t="str">
        <x:v>Glossary + claim audit + contextual warning</x:v>
      </x:c>
      <x:c r="F7" s="142" t="str">
        <x:v>Adzki</x:v>
      </x:c>
      <x:c r="G7" s="142" t="str">
        <x:v>Any external-facing incidence claim</x:v>
      </x:c>
    </x:row>
    <x:row r="8" ht="62" customHeight="1">
      <x:c r="A8" s="142" t="str">
        <x:v>Overfitting climate/social</x:v>
      </x:c>
      <x:c r="B8" s="142" t="str">
        <x:v>Medium</x:v>
      </x:c>
      <x:c r="C8" s="142" t="str">
        <x:v>High</x:v>
      </x:c>
      <x:c r="D8" s="142" t="str">
        <x:v>Many models/interactions</x:v>
      </x:c>
      <x:c r="E8" s="142" t="str">
        <x:v>Pre-specify; one interaction/model; multiplicity note</x:v>
      </x:c>
      <x:c r="F8" s="142" t="str">
        <x:v>Stephen</x:v>
      </x:c>
      <x:c r="G8" s="142" t="str">
        <x:v>Unplanned model added after M1</x:v>
      </x:c>
    </x:row>
    <x:row r="9" ht="62" customHeight="1">
      <x:c r="A9" s="142" t="str">
        <x:v>Island/Papua neighbor instability</x:v>
      </x:c>
      <x:c r="B9" s="142" t="str">
        <x:v>High</x:v>
      </x:c>
      <x:c r="C9" s="142" t="str">
        <x:v>Medium</x:v>
      </x:c>
      <x:c r="D9" s="142" t="str">
        <x:v>Cluster changes by weights</x:v>
      </x:c>
      <x:c r="E9" s="142" t="str">
        <x:v>Primary + alternative weights; flag instability</x:v>
      </x:c>
      <x:c r="F9" s="142" t="str">
        <x:v>Dame</x:v>
      </x:c>
      <x:c r="G9" s="142" t="str">
        <x:v>Key hotspot only exists under one arbitrary graph</x:v>
      </x:c>
    </x:row>
    <x:row r="10" ht="62" customHeight="1">
      <x:c r="A10" s="142" t="str">
        <x:v>UI and manuscript mismatch</x:v>
      </x:c>
      <x:c r="B10" s="142" t="str">
        <x:v>Medium</x:v>
      </x:c>
      <x:c r="C10" s="142" t="str">
        <x:v>High</x:v>
      </x:c>
      <x:c r="D10" s="142" t="str">
        <x:v>Different values/definitions</x:v>
      </x:c>
      <x:c r="E10" s="142" t="str">
        <x:v>Output manifest; no hardcoded values; reconciliation</x:v>
      </x:c>
      <x:c r="F10" s="142" t="str">
        <x:v>Erin / Venedict</x:v>
      </x:c>
      <x:c r="G10" s="142" t="str">
        <x:v>Any primary number mismatch after M4</x:v>
      </x:c>
    </x:row>
    <x:row r="11" ht="62" customHeight="1">
      <x:c r="A11" s="142" t="str">
        <x:v>Writing lags analysis</x:v>
      </x:c>
      <x:c r="B11" s="142" t="str">
        <x:v>Medium</x:v>
      </x:c>
      <x:c r="C11" s="142" t="str">
        <x:v>Medium</x:v>
      </x:c>
      <x:c r="D11" s="142" t="str">
        <x:v>Sections empty after S3</x:v>
      </x:c>
      <x:c r="E11" s="142" t="str">
        <x:v>Writing begins S1; weekly output IDs and claim audit</x:v>
      </x:c>
      <x:c r="F11" s="142" t="str">
        <x:v>Adzki</x:v>
      </x:c>
      <x:c r="G11" s="142" t="str">
        <x:v>Methods/Results shell not current at weekly review</x:v>
      </x:c>
    </x:row>
    <x:row r="12">
      <x:c r="A12" s="142"/>
      <x:c r="B12" s="142"/>
      <x:c r="C12" s="142"/>
      <x:c r="D12" s="142"/>
      <x:c r="E12" s="142"/>
      <x:c r="F12" s="142"/>
      <x:c r="G12" s="142"/>
    </x:row>
    <x:row r="13">
      <x:c r="A13" s="144" t="str">
        <x:v>When capacity drops</x:v>
      </x:c>
      <x:c r="B13" s="144" t="str">
        <x:v>Keep 1</x:v>
      </x:c>
      <x:c r="C13" s="144" t="str">
        <x:v>Keep 2</x:v>
      </x:c>
      <x:c r="D13" s="144" t="str">
        <x:v>Keep 3</x:v>
      </x:c>
      <x:c r="E13" s="144" t="str">
        <x:v>Defer first</x:v>
      </x:c>
      <x:c r="F13" s="144" t="str">
        <x:v>Never defer</x:v>
      </x:c>
      <x:c r="G13" s="144" t="str">
        <x:v>Decision owner</x:v>
      </x:c>
    </x:row>
    <x:row r="14" ht="58" customHeight="1">
      <x:c r="A14" s="142" t="str">
        <x:v>Priority order</x:v>
      </x:c>
      <x:c r="B14" s="142" t="str">
        <x:v>Data integrity</x:v>
      </x:c>
      <x:c r="C14" s="142" t="str">
        <x:v>Primary model + core sensitivity</x:v>
      </x:c>
      <x:c r="D14" s="142" t="str">
        <x:v>Main maps/tables + consistent manuscript/UI</x:v>
      </x:c>
      <x:c r="E14" s="142" t="str">
        <x:v>Animation, extra dashboard features, exploratory models</x:v>
      </x:c>
      <x:c r="F14" s="142" t="str">
        <x:v>QA, provenance, independent rerun, limitation</x:v>
      </x:c>
      <x:c r="G14" s="142" t="str">
        <x:v>Gate owner</x:v>
      </x:c>
    </x:row>
  </x:sheetData>
  <x:mergeCells>
    <x:mergeCell ref="A1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</x:cols>
  <x:sheetData>
    <x:row r="1">
      <x:c r="A1" s="140" t="str">
        <x:v>ClickUp Spreadsheet Import Mapping</x:v>
      </x:c>
      <x:c r="B1" s="135"/>
      <x:c r="C1" s="135"/>
      <x:c r="D1" s="135"/>
      <x:c r="E1" s="135"/>
    </x:row>
    <x:row r="2">
      <x:c r="A2" s="135"/>
      <x:c r="B2" s="135"/>
      <x:c r="C2" s="135"/>
      <x:c r="D2" s="135"/>
      <x:c r="E2" s="135"/>
    </x:row>
    <x:row r="3">
      <x:c r="A3" s="145" t="str">
        <x:v>Upload this .xlsx, select the first worksheet 'ClickUp Import', use YYYY-MM-DD, then review every mapping before confirming.</x:v>
      </x:c>
      <x:c r="B3" s="145"/>
      <x:c r="C3" s="145"/>
      <x:c r="D3" s="145"/>
      <x:c r="E3" s="145"/>
    </x:row>
    <x:row r="4">
      <x:c r="A4" s="136"/>
      <x:c r="B4" s="136"/>
      <x:c r="C4" s="136"/>
      <x:c r="D4" s="136"/>
      <x:c r="E4" s="136"/>
    </x:row>
    <x:row r="5">
      <x:c r="A5" s="141" t="str">
        <x:v>Incoming column</x:v>
      </x:c>
      <x:c r="B5" s="141" t="str">
        <x:v>Map to ClickUp</x:v>
      </x:c>
      <x:c r="C5" s="141" t="str">
        <x:v>Field type</x:v>
      </x:c>
      <x:c r="D5" s="141" t="str">
        <x:v>Required?</x:v>
      </x:c>
      <x:c r="E5" s="141" t="str">
        <x:v>Import note</x:v>
      </x:c>
    </x:row>
    <x:row r="6" ht="38" customHeight="1">
      <x:c r="A6" s="138" t="str">
        <x:v>Sprint List</x:v>
      </x:c>
      <x:c r="B6" s="138" t="str">
        <x:v>Sprint</x:v>
      </x:c>
      <x:c r="C6" s="138" t="str">
        <x:v>Custom Field / Dropdown</x:v>
      </x:c>
      <x:c r="D6" s="138" t="str">
        <x:v>Recommended</x:v>
      </x:c>
      <x:c r="E6" s="138" t="str">
        <x:v>Map S1–S6; create the six Lists manually if you prefer separate Lists.</x:v>
      </x:c>
    </x:row>
    <x:row r="7" ht="38" customHeight="1">
      <x:c r="A7" s="138" t="str">
        <x:v>Task ID</x:v>
      </x:c>
      <x:c r="B7" s="138" t="str">
        <x:v>Task ID</x:v>
      </x:c>
      <x:c r="C7" s="138" t="str">
        <x:v>Custom Field / Text</x:v>
      </x:c>
      <x:c r="D7" s="138" t="str">
        <x:v>Recommended</x:v>
      </x:c>
      <x:c r="E7" s="138" t="str">
        <x:v>Stable key for dependencies and review.</x:v>
      </x:c>
    </x:row>
    <x:row r="8" ht="38" customHeight="1">
      <x:c r="A8" s="138" t="str">
        <x:v>Task Name</x:v>
      </x:c>
      <x:c r="B8" s="138" t="str">
        <x:v>Task Name</x:v>
      </x:c>
      <x:c r="C8" s="138" t="str">
        <x:v>Native task field</x:v>
      </x:c>
      <x:c r="D8" s="138" t="str">
        <x:v>Yes</x:v>
      </x:c>
      <x:c r="E8" s="138" t="str">
        <x:v>Only required ClickUp field; keep [Task ID] prefix.</x:v>
      </x:c>
    </x:row>
    <x:row r="9" ht="38" customHeight="1">
      <x:c r="A9" s="138" t="str">
        <x:v>Description</x:v>
      </x:c>
      <x:c r="B9" s="138" t="str">
        <x:v>Description</x:v>
      </x:c>
      <x:c r="C9" s="138" t="str">
        <x:v>Native task field</x:v>
      </x:c>
      <x:c r="D9" s="138" t="str">
        <x:v>Recommended</x:v>
      </x:c>
      <x:c r="E9" s="138" t="str">
        <x:v>One task objective; acceptance criteria remain separate.</x:v>
      </x:c>
    </x:row>
    <x:row r="10" ht="38" customHeight="1">
      <x:c r="A10" s="138" t="str">
        <x:v>Assignee</x:v>
      </x:c>
      <x:c r="B10" s="138" t="str">
        <x:v>Assignee</x:v>
      </x:c>
      <x:c r="C10" s="138" t="str">
        <x:v>Native task field</x:v>
      </x:c>
      <x:c r="D10" s="138" t="str">
        <x:v>Recommended</x:v>
      </x:c>
      <x:c r="E10" s="138" t="str">
        <x:v>Member name/email must match Workspace user.</x:v>
      </x:c>
    </x:row>
    <x:row r="11" ht="38" customHeight="1">
      <x:c r="A11" s="138" t="str">
        <x:v>Reviewer</x:v>
      </x:c>
      <x:c r="B11" s="138" t="str">
        <x:v>Reviewer</x:v>
      </x:c>
      <x:c r="C11" s="138" t="str">
        <x:v>Custom Field / People or Text</x:v>
      </x:c>
      <x:c r="D11" s="138" t="str">
        <x:v>Recommended</x:v>
      </x:c>
      <x:c r="E11" s="138" t="str">
        <x:v>Use Text if reviewer is not yet invited.</x:v>
      </x:c>
    </x:row>
    <x:row r="12" ht="38" customHeight="1">
      <x:c r="A12" s="138" t="str">
        <x:v>Status</x:v>
      </x:c>
      <x:c r="B12" s="138" t="str">
        <x:v>Status</x:v>
      </x:c>
      <x:c r="C12" s="138" t="str">
        <x:v>Native task field</x:v>
      </x:c>
      <x:c r="D12" s="138" t="str">
        <x:v>Recommended</x:v>
      </x:c>
      <x:c r="E12" s="138" t="str">
        <x:v>Map READY/BACKLOG to existing statuses during import.</x:v>
      </x:c>
    </x:row>
    <x:row r="13" ht="38" customHeight="1">
      <x:c r="A13" s="138" t="str">
        <x:v>Priority</x:v>
      </x:c>
      <x:c r="B13" s="138" t="str">
        <x:v>Priority</x:v>
      </x:c>
      <x:c r="C13" s="138" t="str">
        <x:v>Native task field</x:v>
      </x:c>
      <x:c r="D13" s="138" t="str">
        <x:v>Recommended</x:v>
      </x:c>
      <x:c r="E13" s="138" t="str">
        <x:v>Map Urgent and High to Workspace values.</x:v>
      </x:c>
    </x:row>
    <x:row r="14" ht="38" customHeight="1">
      <x:c r="A14" s="138" t="str">
        <x:v>Start Date</x:v>
      </x:c>
      <x:c r="B14" s="138" t="str">
        <x:v>Start Date</x:v>
      </x:c>
      <x:c r="C14" s="138" t="str">
        <x:v>Native date field</x:v>
      </x:c>
      <x:c r="D14" s="138" t="str">
        <x:v>Recommended</x:v>
      </x:c>
      <x:c r="E14" s="138" t="str">
        <x:v>Choose Year-Month-Day in importer.</x:v>
      </x:c>
    </x:row>
    <x:row r="15" ht="38" customHeight="1">
      <x:c r="A15" s="138" t="str">
        <x:v>Due Date</x:v>
      </x:c>
      <x:c r="B15" s="138" t="str">
        <x:v>Due Date</x:v>
      </x:c>
      <x:c r="C15" s="138" t="str">
        <x:v>Native date field</x:v>
      </x:c>
      <x:c r="D15" s="138" t="str">
        <x:v>Recommended</x:v>
      </x:c>
      <x:c r="E15" s="138" t="str">
        <x:v>Dates end on Sunday sprint boundary.</x:v>
      </x:c>
    </x:row>
    <x:row r="16" ht="38" customHeight="1">
      <x:c r="A16" s="138" t="str">
        <x:v>Workstream</x:v>
      </x:c>
      <x:c r="B16" s="138" t="str">
        <x:v>Workstream</x:v>
      </x:c>
      <x:c r="C16" s="138" t="str">
        <x:v>Custom Field / Dropdown</x:v>
      </x:c>
      <x:c r="D16" s="138" t="str">
        <x:v>Recommended</x:v>
      </x:c>
      <x:c r="E16" s="138" t="str">
        <x:v>Data, Modeling, Spatial, Product, Writing, QA.</x:v>
      </x:c>
    </x:row>
    <x:row r="17" ht="38" customHeight="1">
      <x:c r="A17" s="138" t="str">
        <x:v>Tags</x:v>
      </x:c>
      <x:c r="B17" s="138" t="str">
        <x:v>Tags</x:v>
      </x:c>
      <x:c r="C17" s="138" t="str">
        <x:v>Native task field</x:v>
      </x:c>
      <x:c r="D17" s="138" t="str">
        <x:v>Optional</x:v>
      </x:c>
      <x:c r="E17" s="138" t="str">
        <x:v>Delimiter is semicolon; set delimiter accordingly if prompted.</x:v>
      </x:c>
    </x:row>
    <x:row r="18" ht="38" customHeight="1">
      <x:c r="A18" s="138" t="str">
        <x:v>Dependencies</x:v>
      </x:c>
      <x:c r="B18" s="138" t="str">
        <x:v>Dependency IDs</x:v>
      </x:c>
      <x:c r="C18" s="138" t="str">
        <x:v>Custom Field / Text</x:v>
      </x:c>
      <x:c r="D18" s="138" t="str">
        <x:v>Recommended</x:v>
      </x:c>
      <x:c r="E18" s="138" t="str">
        <x:v>Import as text first, then create native dependencies using IDs.</x:v>
      </x:c>
    </x:row>
    <x:row r="19" ht="38" customHeight="1">
      <x:c r="A19" s="138" t="str">
        <x:v>Effort Hours</x:v>
      </x:c>
      <x:c r="B19" s="138" t="str">
        <x:v>Effort Hours</x:v>
      </x:c>
      <x:c r="C19" s="138" t="str">
        <x:v>Custom Field / Number</x:v>
      </x:c>
      <x:c r="D19" s="138" t="str">
        <x:v>Recommended</x:v>
      </x:c>
      <x:c r="E19" s="138" t="str">
        <x:v>Working estimate; excludes routine meetings.</x:v>
      </x:c>
    </x:row>
    <x:row r="20" ht="38" customHeight="1">
      <x:c r="A20" s="138" t="str">
        <x:v>Deliverable Path</x:v>
      </x:c>
      <x:c r="B20" s="138" t="str">
        <x:v>Deliverable Path</x:v>
      </x:c>
      <x:c r="C20" s="138" t="str">
        <x:v>Custom Field / Text</x:v>
      </x:c>
      <x:c r="D20" s="138" t="str">
        <x:v>Recommended</x:v>
      </x:c>
      <x:c r="E20" s="138" t="str">
        <x:v>Repository-relative target path.</x:v>
      </x:c>
    </x:row>
    <x:row r="21" ht="38" customHeight="1">
      <x:c r="A21" s="138" t="str">
        <x:v>Acceptance Criteria</x:v>
      </x:c>
      <x:c r="B21" s="138" t="str">
        <x:v>Acceptance Criteria</x:v>
      </x:c>
      <x:c r="C21" s="138" t="str">
        <x:v>Custom Field / Long Text</x:v>
      </x:c>
      <x:c r="D21" s="138" t="str">
        <x:v>Recommended</x:v>
      </x:c>
      <x:c r="E21" s="138" t="str">
        <x:v>Reviewer closes task only when this is met.</x:v>
      </x:c>
    </x:row>
    <x:row r="22" ht="38" customHeight="1">
      <x:c r="A22" s="138" t="str">
        <x:v>Milestone</x:v>
      </x:c>
      <x:c r="B22" s="138" t="str">
        <x:v>Milestone</x:v>
      </x:c>
      <x:c r="C22" s="138" t="str">
        <x:v>Custom Field / Text</x:v>
      </x:c>
      <x:c r="D22" s="138" t="str">
        <x:v>Optional</x:v>
      </x:c>
      <x:c r="E22" s="138" t="str">
        <x:v>Rows M1–M6 should be converted to ClickUp Milestones after import.</x:v>
      </x:c>
    </x:row>
    <x:row r="23" ht="38" customHeight="1">
      <x:c r="A23" s="138" t="str">
        <x:v>Risk</x:v>
      </x:c>
      <x:c r="B23" s="138" t="str">
        <x:v>Risk</x:v>
      </x:c>
      <x:c r="C23" s="138" t="str">
        <x:v>Custom Field / Dropdown</x:v>
      </x:c>
      <x:c r="D23" s="138" t="str">
        <x:v>Recommended</x:v>
      </x:c>
      <x:c r="E23" s="138" t="str">
        <x:v>Low, Medium, High.</x:v>
      </x:c>
    </x:row>
    <x:row r="24" ht="38" customHeight="1">
      <x:c r="A24" s="138" t="str">
        <x:v>Data Status</x:v>
      </x:c>
      <x:c r="B24" s="138" t="str">
        <x:v>Data Status</x:v>
      </x:c>
      <x:c r="C24" s="138" t="str">
        <x:v>Custom Field / Dropdown</x:v>
      </x:c>
      <x:c r="D24" s="138" t="str">
        <x:v>Recommended</x:v>
      </x:c>
      <x:c r="E24" s="138" t="str">
        <x:v>Frozen, Provisional, Not Applicable.</x:v>
      </x:c>
    </x:row>
    <x:row r="25">
      <x:c r="A25" s="138"/>
      <x:c r="B25" s="138"/>
      <x:c r="C25" s="138"/>
      <x:c r="D25" s="138"/>
      <x:c r="E25" s="138"/>
    </x:row>
    <x:row r="26">
      <x:c r="A26" s="144" t="str">
        <x:v>Import order</x:v>
      </x:c>
      <x:c r="B26" s="144" t="str">
        <x:v>1</x:v>
      </x:c>
      <x:c r="C26" s="144" t="str">
        <x:v>2</x:v>
      </x:c>
      <x:c r="D26" s="144" t="str">
        <x:v>3</x:v>
      </x:c>
      <x:c r="E26" s="144" t="str">
        <x:v>4</x:v>
      </x:c>
    </x:row>
    <x:row r="27">
      <x:c r="A27" s="138" t="str">
        <x:v>Action</x:v>
      </x:c>
      <x:c r="B27" s="138" t="str">
        <x:v>Create statuses/custom fields</x:v>
      </x:c>
      <x:c r="C27" s="138" t="str">
        <x:v>Upload workbook</x:v>
      </x:c>
      <x:c r="D27" s="138" t="str">
        <x:v>Map and preview fields</x:v>
      </x:c>
      <x:c r="E27" s="138" t="str">
        <x:v>Convert M1–M6 and link dependencies</x:v>
      </x:c>
    </x:row>
    <x:row r="28">
      <x:c r="A28" s="138"/>
      <x:c r="B28" s="138"/>
      <x:c r="C28" s="138"/>
      <x:c r="D28" s="138"/>
      <x:c r="E28" s="138"/>
    </x:row>
    <x:row r="29">
      <x:c r="A29" s="141" t="str">
        <x:v>Official documentation</x:v>
      </x:c>
      <x:c r="B29" s="141" t="str">
        <x:v>Prepare spreadsheet</x:v>
      </x:c>
      <x:c r="C29" s="141" t="str">
        <x:v>Use importer</x:v>
      </x:c>
      <x:c r="D29" s="141" t="str">
        <x:v>Supported fields</x:v>
      </x:c>
      <x:c r="E29" s="141" t="str">
        <x:v>Last verified</x:v>
      </x:c>
    </x:row>
    <x:row r="30" ht="105" customHeight="1">
      <x:c r="A30" s="138" t="str">
        <x:v>ClickUp Help</x:v>
      </x:c>
      <x:c r="B30" s="138" t="str">
        <x:v>https://help.clickup.com/hc/en-us/articles/6310821748759-Prepare-a-spreadsheet-for-import</x:v>
      </x:c>
      <x:c r="C30" s="138" t="str">
        <x:v>https://help.clickup.com/hc/en-us/articles/6310834724247-Use-the-Spreadsheets-Importer</x:v>
      </x:c>
      <x:c r="D30" s="138" t="str">
        <x:v>https://help.clickup.com/hc/en-us/articles/6310876671255-Fields-supported-by-the-Spreadsheets-importer</x:v>
      </x:c>
      <x:c r="E30" s="138" t="str">
        <x:v>2026-08-20</x:v>
      </x:c>
    </x:row>
  </x:sheetData>
  <x:mergeCells>
    <x:mergeCell ref="A1:E2"/>
    <x:mergeCell ref="A3:E3"/>
  </x:mergeCells>
  <x:pageMargins left="0.7" right="0.7" top="0.75" bottom="0.75" header="0.3" footer="0.3"/>
</x:worksheet>
</file>